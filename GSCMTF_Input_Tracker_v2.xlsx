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GLOBAL_SUMMARY" sheetId="2" state="visible" r:id="rId4"/>
    <sheet name="Bangladesh" sheetId="3" state="visible" r:id="rId5"/>
    <sheet name="Chad" sheetId="4" state="visible" r:id="rId6"/>
    <sheet name="Colombia" sheetId="5" state="visible" r:id="rId7"/>
    <sheet name="DRC" sheetId="6" state="visible" r:id="rId8"/>
    <sheet name="Ethiopia" sheetId="7" state="visible" r:id="rId9"/>
    <sheet name="Haiti" sheetId="8" state="visible" r:id="rId10"/>
    <sheet name="Honduras" sheetId="9" state="visible" r:id="rId11"/>
    <sheet name="Myanmar" sheetId="10" state="visible" r:id="rId12"/>
    <sheet name="Syria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<sst xmlns="http://schemas.openxmlformats.org/spreadsheetml/2006/main" count="2103" uniqueCount="349">
  <si>
    <t xml:space="preserve">  GSCMTF INPUT TRACKER v2 — USER GUIDE</t>
  </si>
  <si>
    <t xml:space="preserve">  Global Supply Chain Management Task Force | US-OCHA Funded Global Project | FAO / CSLO</t>
  </si>
  <si>
    <t xml:space="preserve">PURPOSE</t>
  </si>
  <si>
    <t xml:space="preserve">Manual input tracker for the GSCMTF dashboard. Data entered here feeds the HTML Control Tower and GSCMTF performance reports. Budget and order counts are auto-aggregated via SUMIF/COUNTIF formulas.</t>
  </si>
  <si>
    <t xml:space="preserve">HOW TO USE</t>
  </si>
  <si>
    <t xml:space="preserve">Step 1</t>
  </si>
  <si>
    <t xml:space="preserve">Go to your Country Sheet tab (e.g. 'Bangladesh', 'Chad'…)</t>
  </si>
  <si>
    <t xml:space="preserve">Step 2</t>
  </si>
  <si>
    <t xml:space="preserve">Fill in all YELLOW cells with input data (blue text = manual input).</t>
  </si>
  <si>
    <t xml:space="preserve">Step 3</t>
  </si>
  <si>
    <t xml:space="preserve">Do NOT edit cells with black text on a light-blue background — these are formula cells.</t>
  </si>
  <si>
    <t xml:space="preserve">Step 4</t>
  </si>
  <si>
    <t xml:space="preserve">Enter budget lines in SECTION 8 (Budget Detail) — Budget Spent &amp; Committed in Section 1 update automatically.</t>
  </si>
  <si>
    <t xml:space="preserve">Step 5</t>
  </si>
  <si>
    <t xml:space="preserve">Enter each order in SECTION 9 (Orders Detail) — the order pipeline counts in Section 3 update automatically.</t>
  </si>
  <si>
    <t xml:space="preserve">Step 6</t>
  </si>
  <si>
    <t xml:space="preserve">Update 'Last Updated' date and 'Updated by' fields at the top of your sheet.</t>
  </si>
  <si>
    <t xml:space="preserve">Step 7</t>
  </si>
  <si>
    <t xml:space="preserve">GLOBAL_SUMMARY reflects all country inputs automatically via formulas.</t>
  </si>
  <si>
    <t xml:space="preserve">SHEET STRUCTURE</t>
  </si>
  <si>
    <t xml:space="preserve">README (this sheet)</t>
  </si>
  <si>
    <t xml:space="preserve">User guide and instructions.</t>
  </si>
  <si>
    <t xml:space="preserve">GLOBAL_SUMMARY</t>
  </si>
  <si>
    <t xml:space="preserve">Auto-aggregated view. Do not edit directly.</t>
  </si>
  <si>
    <t xml:space="preserve">Bangladesh → Syria</t>
  </si>
  <si>
    <t xml:space="preserve">One input sheet per country (9 sheets).</t>
  </si>
  <si>
    <t xml:space="preserve">SECTIONS PER COUNTRY</t>
  </si>
  <si>
    <t xml:space="preserve">Section 1</t>
  </si>
  <si>
    <t xml:space="preserve">Programmatic: Budget, Beneficiaries, Distribution timeline, Project details. Budget Spent &amp; Committed are auto-calculated from Section 8.</t>
  </si>
  <si>
    <t xml:space="preserve">Section 2</t>
  </si>
  <si>
    <t xml:space="preserve">Commodities / Items: List of food/NFI items being distributed.</t>
  </si>
  <si>
    <t xml:space="preserve">Section 3</t>
  </si>
  <si>
    <t xml:space="preserve">SC Orders: Pipeline stage counts (Pending → Delivered). Auto-counted from Section 9.</t>
  </si>
  <si>
    <t xml:space="preserve">Section 4</t>
  </si>
  <si>
    <t xml:space="preserve">SC Inventory: Stock on hand, in transit, warehouse capacity and locations.</t>
  </si>
  <si>
    <t xml:space="preserve">Section 5</t>
  </si>
  <si>
    <t xml:space="preserve">SC Deliveries &amp; Last Mile: Delivery tracking and partner information.</t>
  </si>
  <si>
    <t xml:space="preserve">Section 6</t>
  </si>
  <si>
    <t xml:space="preserve">SC KPIs: On-Time Delivery rate, Stockout Risk, overall SC assessment.</t>
  </si>
  <si>
    <t xml:space="preserve">Section 7</t>
  </si>
  <si>
    <t xml:space="preserve">Risk Register: Up to 8 active SC risks with level, description, mitigation and owner.</t>
  </si>
  <si>
    <t xml:space="preserve">Section 8</t>
  </si>
  <si>
    <t xml:space="preserve">▶ BUDGET DETAIL TABLE: One row per budget expenditure or commitment. Enter category, description, vendor, amount, date and payment status. Budget Spent (= rows with status 'Spent') and Budget Committed (= rows with status 'Committed') auto-aggregate into Section 1.</t>
  </si>
  <si>
    <t xml:space="preserve">Section 9</t>
  </si>
  <si>
    <t xml:space="preserve">▶ ORDERS DETAIL TABLE: One row per order/PO. Enter commodity, quantities, dates and status. The pipeline counts in Section 3 (Pending / Confirmed / In Production / Shipped / Delivered) auto-count based on the status column.</t>
  </si>
  <si>
    <t xml:space="preserve">COLOUR CODING</t>
  </si>
  <si>
    <t xml:space="preserve">Yellow bg / Blue text</t>
  </si>
  <si>
    <t xml:space="preserve">Manual input cell — enter your data here.</t>
  </si>
  <si>
    <t xml:space="preserve">Blue-tint bg / Black text</t>
  </si>
  <si>
    <t xml:space="preserve">Formula cell — auto-calculated, do not edit.</t>
  </si>
  <si>
    <t xml:space="preserve">⚡ symbol in notes</t>
  </si>
  <si>
    <t xml:space="preserve">Cell is fed by a SUMIF or COUNTIF from a detail table below.</t>
  </si>
  <si>
    <t xml:space="preserve">UPDATE FREQUENCY</t>
  </si>
  <si>
    <t xml:space="preserve">Update before each GSCMTF meeting (bi-weekly). CSLO Secretariat will validate prior to each Task Force session.</t>
  </si>
  <si>
    <t xml:space="preserve">CONTACT</t>
  </si>
  <si>
    <t xml:space="preserve">cslo-support@fao.org</t>
  </si>
  <si>
    <t xml:space="preserve">VERSION</t>
  </si>
  <si>
    <t xml:space="preserve">v2.0 | April 2026 | GSCMTF / CSLO</t>
  </si>
  <si>
    <t xml:space="preserve">  GSCMTF | US-OCHA Global Project — GLOBAL SUMMARY DASHBOARD</t>
  </si>
  <si>
    <t xml:space="preserve">  Auto-aggregated from all 9 country input sheets  |  FAO / CSLO</t>
  </si>
  <si>
    <t xml:space="preserve">Country</t>
  </si>
  <si>
    <t xml:space="preserve">Status</t>
  </si>
  <si>
    <t xml:space="preserve">Total Budget
(USD)</t>
  </si>
  <si>
    <t xml:space="preserve">Spent
(USD)</t>
  </si>
  <si>
    <t xml:space="preserve">Budget
Util %</t>
  </si>
  <si>
    <t xml:space="preserve">Target
Beneficiaries</t>
  </si>
  <si>
    <t xml:space="preserve">Reached
Benef.</t>
  </si>
  <si>
    <t xml:space="preserve">Benef.
Coverage %</t>
  </si>
  <si>
    <t xml:space="preserve">Distrib.
Progress %</t>
  </si>
  <si>
    <t xml:space="preserve">Total
Orders</t>
  </si>
  <si>
    <t xml:space="preserve">On Hand
(MT)</t>
  </si>
  <si>
    <t xml:space="preserve">In Transit
(MT)</t>
  </si>
  <si>
    <t xml:space="preserve">On-Time
Delivery %</t>
  </si>
  <si>
    <t xml:space="preserve">Stockout
Risk</t>
  </si>
  <si>
    <t xml:space="preserve">Bangladesh</t>
  </si>
  <si>
    <t xml:space="preserve">Chad</t>
  </si>
  <si>
    <t xml:space="preserve">Colombia</t>
  </si>
  <si>
    <t xml:space="preserve">DRC</t>
  </si>
  <si>
    <t xml:space="preserve">Ethiopia</t>
  </si>
  <si>
    <t xml:space="preserve">Haiti</t>
  </si>
  <si>
    <t xml:space="preserve">Honduras</t>
  </si>
  <si>
    <t xml:space="preserve">Myanmar</t>
  </si>
  <si>
    <t xml:space="preserve">Syria</t>
  </si>
  <si>
    <t xml:space="preserve">TOTAL / AVERAGE</t>
  </si>
  <si>
    <t xml:space="preserve">GSCMTF | FAO–CSLO | Data sourced from country sheets | Confidential</t>
  </si>
  <si>
    <t xml:space="preserve">All figures auto-pulled from individual country sheets. Budget Spent &amp; Committed are SUMIF aggregates from each country's Budget Detail table. Order counts are COUNTIF aggregates from each country's Orders Detail table. Update data in country sheets — this summary refreshes automatically.</t>
  </si>
  <si>
    <t xml:space="preserve">  GSCMTF | US-OCHA Global Project — Bangladesh (BGD)  |  Region: Asia</t>
  </si>
  <si>
    <t xml:space="preserve">  FAO Supply Chain Orchestration Unit (CSLO)  |  Confidential — Internal Use Only</t>
  </si>
  <si>
    <t xml:space="preserve">Last Updated:</t>
  </si>
  <si>
    <t xml:space="preserve">Updated by:</t>
  </si>
  <si>
    <t xml:space="preserve">▌  SECTION 1 — PROGRAMMATIC INFORMATION</t>
  </si>
  <si>
    <t xml:space="preserve">Project Status</t>
  </si>
  <si>
    <t xml:space="preserve">On Track</t>
  </si>
  <si>
    <t xml:space="preserve">Select current overall project status</t>
  </si>
  <si>
    <t xml:space="preserve">Total Budget (USD)</t>
  </si>
  <si>
    <t xml:space="preserve">USD</t>
  </si>
  <si>
    <t xml:space="preserve">Total budget allocated to this country</t>
  </si>
  <si>
    <t xml:space="preserve">Budget Spent to Date (auto)</t>
  </si>
  <si>
    <t xml:space="preserve">⚡ Auto-sum from Budget Detail table (Section 8)</t>
  </si>
  <si>
    <t xml:space="preserve">Budget Committed (auto)</t>
  </si>
  <si>
    <t xml:space="preserve">Budget Available (auto)</t>
  </si>
  <si>
    <t xml:space="preserve">Auto-calculated: Total − Spent − Committed</t>
  </si>
  <si>
    <t xml:space="preserve">Budget Utilized % (auto)</t>
  </si>
  <si>
    <t xml:space="preserve">%</t>
  </si>
  <si>
    <t xml:space="preserve">Auto-calculated</t>
  </si>
  <si>
    <t xml:space="preserve">Target Beneficiaries</t>
  </si>
  <si>
    <t xml:space="preserve">#</t>
  </si>
  <si>
    <t xml:space="preserve">Total number of targeted beneficiaries</t>
  </si>
  <si>
    <t xml:space="preserve">Beneficiaries Reached</t>
  </si>
  <si>
    <t xml:space="preserve">Cumulative beneficiaries reached to date</t>
  </si>
  <si>
    <t xml:space="preserve">Beneficiary Coverage % (auto)</t>
  </si>
  <si>
    <t xml:space="preserve">Total Distribution Months</t>
  </si>
  <si>
    <t xml:space="preserve">months</t>
  </si>
  <si>
    <t xml:space="preserve">Total planned distribution months</t>
  </si>
  <si>
    <t xml:space="preserve">Distributions Completed</t>
  </si>
  <si>
    <t xml:space="preserve">Number of distribution months completed</t>
  </si>
  <si>
    <t xml:space="preserve">Distribution Progress % (auto)</t>
  </si>
  <si>
    <t xml:space="preserve">Next Distribution Date</t>
  </si>
  <si>
    <t xml:space="preserve">date</t>
  </si>
  <si>
    <t xml:space="preserve">Planned date of next distribution</t>
  </si>
  <si>
    <t xml:space="preserve">Project Start Date</t>
  </si>
  <si>
    <t xml:space="preserve">Official project start date</t>
  </si>
  <si>
    <t xml:space="preserve">Project End Date</t>
  </si>
  <si>
    <t xml:space="preserve">Official project end date</t>
  </si>
  <si>
    <t xml:space="preserve">Project Officer (FAO)</t>
  </si>
  <si>
    <t xml:space="preserve">M. Rahman</t>
  </si>
  <si>
    <t xml:space="preserve">Name of responsible FAO Project Officer</t>
  </si>
  <si>
    <t xml:space="preserve">FAO Country Office</t>
  </si>
  <si>
    <t xml:space="preserve">FAO Bangladesh (Dhaka)</t>
  </si>
  <si>
    <t xml:space="preserve">FAO country office responsible for implementation</t>
  </si>
  <si>
    <t xml:space="preserve">▌  SECTION 2 — COMMODITIES / ITEMS DISTRIBUTED</t>
  </si>
  <si>
    <t xml:space="preserve">Commodity / Item 1</t>
  </si>
  <si>
    <t xml:space="preserve">Rice</t>
  </si>
  <si>
    <t xml:space="preserve">name</t>
  </si>
  <si>
    <t xml:space="preserve">e.g. Rice, Lentils, Cooking Oil, CSB+, Soap, NFIs…</t>
  </si>
  <si>
    <t xml:space="preserve">Commodity / Item 2</t>
  </si>
  <si>
    <t xml:space="preserve">Lentils</t>
  </si>
  <si>
    <t xml:space="preserve">Commodity / Item 3</t>
  </si>
  <si>
    <t xml:space="preserve">Cooking Oil</t>
  </si>
  <si>
    <t xml:space="preserve">Commodity / Item 4</t>
  </si>
  <si>
    <t xml:space="preserve">Salt</t>
  </si>
  <si>
    <t xml:space="preserve">Commodity / Item 5</t>
  </si>
  <si>
    <t xml:space="preserve">CSB+</t>
  </si>
  <si>
    <t xml:space="preserve">Commodity / Item 6</t>
  </si>
  <si>
    <t xml:space="preserve">Commodity / Item 7</t>
  </si>
  <si>
    <t xml:space="preserve">Commodity / Item 8</t>
  </si>
  <si>
    <t xml:space="preserve">▌  SECTION 3 — SUPPLY CHAIN: ORDERS  (auto-counted from Section 9 detail table)</t>
  </si>
  <si>
    <t xml:space="preserve">Orders — Pending (auto)</t>
  </si>
  <si>
    <t xml:space="preserve">⚡ Auto-count from Orders Detail table (Section 9)</t>
  </si>
  <si>
    <t xml:space="preserve">Orders — Confirmed (auto)</t>
  </si>
  <si>
    <t xml:space="preserve">Orders — In Production (auto)</t>
  </si>
  <si>
    <t xml:space="preserve">Orders — Shipped (auto)</t>
  </si>
  <si>
    <t xml:space="preserve">Orders — Delivered (auto)</t>
  </si>
  <si>
    <t xml:space="preserve">Total Orders (auto)</t>
  </si>
  <si>
    <t xml:space="preserve">Auto-calculated: sum of all pipeline stages</t>
  </si>
  <si>
    <t xml:space="preserve">Order Fulfillment Rate</t>
  </si>
  <si>
    <t xml:space="preserve">Manual KPI: % of expected orders fulfilled to date</t>
  </si>
  <si>
    <t xml:space="preserve">▌  SECTION 4 — SUPPLY CHAIN: INVENTORY</t>
  </si>
  <si>
    <t xml:space="preserve">Stock On Hand</t>
  </si>
  <si>
    <t xml:space="preserve">MT</t>
  </si>
  <si>
    <t xml:space="preserve">Physical stock in FAO warehouses</t>
  </si>
  <si>
    <t xml:space="preserve">Stock In Transit</t>
  </si>
  <si>
    <t xml:space="preserve">Stock en route to destination warehouses</t>
  </si>
  <si>
    <t xml:space="preserve">Total Stock (auto)</t>
  </si>
  <si>
    <t xml:space="preserve">Warehouse Capacity (total)</t>
  </si>
  <si>
    <t xml:space="preserve">Total warehouse capacity available</t>
  </si>
  <si>
    <t xml:space="preserve">Capacity Utilization % (auto)</t>
  </si>
  <si>
    <t xml:space="preserve">Warehouse Location 1</t>
  </si>
  <si>
    <t xml:space="preserve">Dhaka</t>
  </si>
  <si>
    <t xml:space="preserve">city</t>
  </si>
  <si>
    <t xml:space="preserve">Main hub</t>
  </si>
  <si>
    <t xml:space="preserve">Warehouse Location 2</t>
  </si>
  <si>
    <t xml:space="preserve">Cox's Bazar</t>
  </si>
  <si>
    <t xml:space="preserve">Secondary hub (if applicable)</t>
  </si>
  <si>
    <t xml:space="preserve">Warehouse Location 3</t>
  </si>
  <si>
    <t xml:space="preserve">Chittagong</t>
  </si>
  <si>
    <t xml:space="preserve">Warehouse Location 4</t>
  </si>
  <si>
    <t xml:space="preserve">▌  SECTION 5 — SUPPLY CHAIN: DELIVERIES &amp; LAST MILE</t>
  </si>
  <si>
    <t xml:space="preserve">Planned Deliveries (total)</t>
  </si>
  <si>
    <t xml:space="preserve">Total delivery events planned</t>
  </si>
  <si>
    <t xml:space="preserve">Dispatched</t>
  </si>
  <si>
    <t xml:space="preserve">Delivery events dispatched from warehouse</t>
  </si>
  <si>
    <t xml:space="preserve">Received by Partners</t>
  </si>
  <si>
    <t xml:space="preserve">Confirmed received by implementing partners</t>
  </si>
  <si>
    <t xml:space="preserve">Last Mile Completed</t>
  </si>
  <si>
    <t xml:space="preserve">Completed to final beneficiaries</t>
  </si>
  <si>
    <t xml:space="preserve">Dispatch Rate % (auto)</t>
  </si>
  <si>
    <t xml:space="preserve">Partner Receipt Rate % (auto)</t>
  </si>
  <si>
    <t xml:space="preserve">Last Mile Rate % (auto)</t>
  </si>
  <si>
    <t xml:space="preserve">Main Transport Mode</t>
  </si>
  <si>
    <t xml:space="preserve">Road + Sea</t>
  </si>
  <si>
    <t xml:space="preserve">e.g. Road, River, Air, Sea, Mixed</t>
  </si>
  <si>
    <t xml:space="preserve">Last Mile Partner 1</t>
  </si>
  <si>
    <t xml:space="preserve">WFP</t>
  </si>
  <si>
    <t xml:space="preserve">Last Mile Partner 2</t>
  </si>
  <si>
    <t xml:space="preserve">BRAC</t>
  </si>
  <si>
    <t xml:space="preserve">Last Mile Partner 3</t>
  </si>
  <si>
    <t xml:space="preserve">UNHCR</t>
  </si>
  <si>
    <t xml:space="preserve">Last Mile Partner 4</t>
  </si>
  <si>
    <t xml:space="preserve">▌  SECTION 6 — SC PERFORMANCE KPIs</t>
  </si>
  <si>
    <t xml:space="preserve">On-Time Delivery Rate</t>
  </si>
  <si>
    <t xml:space="preserve">% of deliveries on time vs. planned schedule</t>
  </si>
  <si>
    <t xml:space="preserve">Stockout Risk Level</t>
  </si>
  <si>
    <t xml:space="preserve">Low</t>
  </si>
  <si>
    <t xml:space="preserve">Select stockout risk assessment</t>
  </si>
  <si>
    <t xml:space="preserve">SC Overall Assessment</t>
  </si>
  <si>
    <t xml:space="preserve">Traffic-light assessment of overall SC health</t>
  </si>
  <si>
    <t xml:space="preserve">SC Comments / Notes</t>
  </si>
  <si>
    <t xml:space="preserve">Key issues, highlights, actions needed</t>
  </si>
  <si>
    <t xml:space="preserve">▌  SECTION 7 — RISK REGISTER</t>
  </si>
  <si>
    <t xml:space="preserve">Risk #</t>
  </si>
  <si>
    <t xml:space="preserve">Risk Level</t>
  </si>
  <si>
    <t xml:space="preserve">Risk Description</t>
  </si>
  <si>
    <t xml:space="preserve">Mitigation Measure / Owner</t>
  </si>
  <si>
    <t xml:space="preserve">Medium</t>
  </si>
  <si>
    <t xml:space="preserve">Monsoon season logistics disruption (Jun-Sep)</t>
  </si>
  <si>
    <t xml:space="preserve">Pre-positioning stocks before onset — Logistics Officer</t>
  </si>
  <si>
    <t xml:space="preserve">Supplier lead time variance</t>
  </si>
  <si>
    <t xml:space="preserve">Buffer stock at 30% — Procurement Officer</t>
  </si>
  <si>
    <t xml:space="preserve">GSCMTF | FAO — CSLO | Confidential — For Internal Use Only</t>
  </si>
  <si>
    <t xml:space="preserve">🔵 Blue text = Manual input  |  ⚫ Black text = Auto-calculated formula  |  ⚡ = Fed by detail table below  |  Yellow bg = Input cell  |  Blue-tint bg = Formula cell</t>
  </si>
  <si>
    <t xml:space="preserve">▌  SECTION 8 — BUDGET DETAIL  |  Enter each budget line here → feeds Section 1 (Budget Spent &amp; Committed)</t>
  </si>
  <si>
    <t xml:space="preserve">Budget Category</t>
  </si>
  <si>
    <t xml:space="preserve">Description / Activity</t>
  </si>
  <si>
    <t xml:space="preserve">Vendor / Supplier / Partner</t>
  </si>
  <si>
    <t xml:space="preserve">Reference / Contract #</t>
  </si>
  <si>
    <t xml:space="preserve">Amount
(USD)</t>
  </si>
  <si>
    <t xml:space="preserve">Date</t>
  </si>
  <si>
    <t xml:space="preserve">Payment
Status</t>
  </si>
  <si>
    <t xml:space="preserve">Notes / Remarks</t>
  </si>
  <si>
    <t xml:space="preserve">Food Procurement</t>
  </si>
  <si>
    <t xml:space="preserve">Rice - Round 1</t>
  </si>
  <si>
    <t xml:space="preserve">ABC Agri</t>
  </si>
  <si>
    <t xml:space="preserve">PO-001</t>
  </si>
  <si>
    <t xml:space="preserve">Spent</t>
  </si>
  <si>
    <t xml:space="preserve">Lentils + Oil</t>
  </si>
  <si>
    <t xml:space="preserve">XYZ Foods</t>
  </si>
  <si>
    <t xml:space="preserve">PO-002</t>
  </si>
  <si>
    <t xml:space="preserve">Logistics &amp; Transport</t>
  </si>
  <si>
    <t xml:space="preserve">Shipping Chittagong</t>
  </si>
  <si>
    <t xml:space="preserve">FastLog</t>
  </si>
  <si>
    <t xml:space="preserve">INV-010</t>
  </si>
  <si>
    <t xml:space="preserve">Warehousing</t>
  </si>
  <si>
    <t xml:space="preserve">Warehouse rental Q1</t>
  </si>
  <si>
    <t xml:space="preserve">StoreCo</t>
  </si>
  <si>
    <t xml:space="preserve">INV-020</t>
  </si>
  <si>
    <t xml:space="preserve">CSB+ supply</t>
  </si>
  <si>
    <t xml:space="preserve">NutriCorp</t>
  </si>
  <si>
    <t xml:space="preserve">PO-003</t>
  </si>
  <si>
    <t xml:space="preserve">Committed</t>
  </si>
  <si>
    <t xml:space="preserve">Last mile transport</t>
  </si>
  <si>
    <t xml:space="preserve">RoadTrans</t>
  </si>
  <si>
    <t xml:space="preserve">INV-030</t>
  </si>
  <si>
    <t xml:space="preserve">HR &amp; Staffing</t>
  </si>
  <si>
    <t xml:space="preserve">SC Coordinator salary Q1</t>
  </si>
  <si>
    <t xml:space="preserve">FAO</t>
  </si>
  <si>
    <t xml:space="preserve">HR-001</t>
  </si>
  <si>
    <t xml:space="preserve">Admin &amp; Overheads</t>
  </si>
  <si>
    <t xml:space="preserve">Office + comms</t>
  </si>
  <si>
    <t xml:space="preserve">ADM-001</t>
  </si>
  <si>
    <t xml:space="preserve">TOTALS</t>
  </si>
  <si>
    <t xml:space="preserve">▌  SECTION 9 — ORDERS DETAIL  |  Enter each order here → feeds Section 3 order pipeline counts</t>
  </si>
  <si>
    <t xml:space="preserve">Order Ref
/ PO #</t>
  </si>
  <si>
    <t xml:space="preserve">Commodity
/ Item</t>
  </si>
  <si>
    <t xml:space="preserve">Unit</t>
  </si>
  <si>
    <t xml:space="preserve">Qty
Ordered</t>
  </si>
  <si>
    <t xml:space="preserve">Qty
Received</t>
  </si>
  <si>
    <t xml:space="preserve">Unit Cost
(USD)</t>
  </si>
  <si>
    <t xml:space="preserve">Total Value
(auto, USD)</t>
  </si>
  <si>
    <t xml:space="preserve">Supplier</t>
  </si>
  <si>
    <t xml:space="preserve">PO /
Confirm. Date</t>
  </si>
  <si>
    <t xml:space="preserve">Expected
Delivery</t>
  </si>
  <si>
    <t xml:space="preserve">Actual
Delivery</t>
  </si>
  <si>
    <t xml:space="preserve">Notes</t>
  </si>
  <si>
    <t xml:space="preserve">PO-BGD-001</t>
  </si>
  <si>
    <t xml:space="preserve">Delivered</t>
  </si>
  <si>
    <t xml:space="preserve">PO-BGD-002</t>
  </si>
  <si>
    <t xml:space="preserve">PO-BGD-003</t>
  </si>
  <si>
    <t xml:space="preserve">Litres</t>
  </si>
  <si>
    <t xml:space="preserve">PO-BGD-004</t>
  </si>
  <si>
    <t xml:space="preserve">PO-BGD-005</t>
  </si>
  <si>
    <t xml:space="preserve">PO-BGD-006</t>
  </si>
  <si>
    <t xml:space="preserve">Rice Round 2</t>
  </si>
  <si>
    <t xml:space="preserve">PO-BGD-007</t>
  </si>
  <si>
    <t xml:space="preserve">Lentils R2</t>
  </si>
  <si>
    <t xml:space="preserve">Shipped</t>
  </si>
  <si>
    <t xml:space="preserve">PO-BGD-008</t>
  </si>
  <si>
    <t xml:space="preserve">Cooking Oil R2</t>
  </si>
  <si>
    <t xml:space="preserve">PO-BGD-009</t>
  </si>
  <si>
    <t xml:space="preserve">CSB+ R2</t>
  </si>
  <si>
    <t xml:space="preserve">Confirmed</t>
  </si>
  <si>
    <t xml:space="preserve">PO-BGD-010</t>
  </si>
  <si>
    <t xml:space="preserve">Rice Round 3</t>
  </si>
  <si>
    <t xml:space="preserve">PO-BGD-011</t>
  </si>
  <si>
    <t xml:space="preserve">Lentils R3</t>
  </si>
  <si>
    <t xml:space="preserve">Pending</t>
  </si>
  <si>
    <t xml:space="preserve">PO-BGD-012</t>
  </si>
  <si>
    <t xml:space="preserve">Salt R2</t>
  </si>
  <si>
    <t xml:space="preserve">""</t>
  </si>
  <si>
    <t xml:space="preserve">Pipeline counts (auto → Section 3 above):  Pending=COUNTIF(M129:M178,"Pending")  Confirmed=COUNTIF(…,"Confirmed")  In Production=COUNTIF(…,"In Production")  Shipped=COUNTIF(…,"Shipped")  Delivered=COUNTIF(…,"Delivered")</t>
  </si>
  <si>
    <t xml:space="preserve">  GSCMTF | US-OCHA Global Project — Chad (TCD)  |  Region: West Africa</t>
  </si>
  <si>
    <t xml:space="preserve">At Risk</t>
  </si>
  <si>
    <t xml:space="preserve">A. Mahamat</t>
  </si>
  <si>
    <t xml:space="preserve">FAO Chad (N'Djamena)</t>
  </si>
  <si>
    <t xml:space="preserve">Sorghum</t>
  </si>
  <si>
    <t xml:space="preserve">Cowpeas</t>
  </si>
  <si>
    <t xml:space="preserve">Vegetable Oil</t>
  </si>
  <si>
    <t xml:space="preserve">N'Djamena</t>
  </si>
  <si>
    <t xml:space="preserve">Moundou</t>
  </si>
  <si>
    <t xml:space="preserve">Abéché</t>
  </si>
  <si>
    <t xml:space="preserve">Road + Air</t>
  </si>
  <si>
    <t xml:space="preserve">ACF</t>
  </si>
  <si>
    <t xml:space="preserve">IRC</t>
  </si>
  <si>
    <t xml:space="preserve">High</t>
  </si>
  <si>
    <t xml:space="preserve">Rainy season access restrictions (Jul-Sep)</t>
  </si>
  <si>
    <t xml:space="preserve">Urgent pre-positioning by June — Country SC Coordinator</t>
  </si>
  <si>
    <t xml:space="preserve">Customs clearance delays averaging 45 days</t>
  </si>
  <si>
    <t xml:space="preserve">Engage customs authorities — MoU finalization — Procurement Officer</t>
  </si>
  <si>
    <t xml:space="preserve">Limited last-mile capacity in Lac region</t>
  </si>
  <si>
    <t xml:space="preserve">Identify additional implementing partners — Partnerships Officer</t>
  </si>
  <si>
    <t xml:space="preserve">Sorghum R1</t>
  </si>
  <si>
    <t xml:space="preserve">SahelGrains</t>
  </si>
  <si>
    <t xml:space="preserve">Cowpeas + Oil</t>
  </si>
  <si>
    <t xml:space="preserve">AFoodCo</t>
  </si>
  <si>
    <t xml:space="preserve">Road transport N'Djamena</t>
  </si>
  <si>
    <t xml:space="preserve">TransSahel</t>
  </si>
  <si>
    <t xml:space="preserve">Air cargo Abéché</t>
  </si>
  <si>
    <t xml:space="preserve">AirChad</t>
  </si>
  <si>
    <t xml:space="preserve">NutriAfrica</t>
  </si>
  <si>
    <t xml:space="preserve">Warehouse N'Djamena</t>
  </si>
  <si>
    <t xml:space="preserve">StoreTchad</t>
  </si>
  <si>
    <t xml:space="preserve">PO-TCD-001</t>
  </si>
  <si>
    <t xml:space="preserve">PO-TCD-002</t>
  </si>
  <si>
    <t xml:space="preserve">PO-TCD-003</t>
  </si>
  <si>
    <t xml:space="preserve">PO-TCD-004</t>
  </si>
  <si>
    <t xml:space="preserve">PO-TCD-005</t>
  </si>
  <si>
    <t xml:space="preserve">Sorghum R2</t>
  </si>
  <si>
    <t xml:space="preserve">PO-TCD-006</t>
  </si>
  <si>
    <t xml:space="preserve">PO-TCD-007</t>
  </si>
  <si>
    <t xml:space="preserve">Cowpeas R2</t>
  </si>
  <si>
    <t xml:space="preserve">PO-TCD-008</t>
  </si>
  <si>
    <t xml:space="preserve">Oil R2</t>
  </si>
  <si>
    <t xml:space="preserve">  GSCMTF | US-OCHA Global Project — Colombia (COL)  |  Region: Latin America</t>
  </si>
  <si>
    <t xml:space="preserve">  GSCMTF | US-OCHA Global Project — DRC (COD)  |  Region: Central Africa</t>
  </si>
  <si>
    <t xml:space="preserve">  GSCMTF | US-OCHA Global Project — Ethiopia (ETH)  |  Region: East Africa</t>
  </si>
  <si>
    <t xml:space="preserve">  GSCMTF | US-OCHA Global Project — Haiti (HTI)  |  Region: Caribbean</t>
  </si>
  <si>
    <t xml:space="preserve">  GSCMTF | US-OCHA Global Project — Honduras (HND)  |  Region: Central America</t>
  </si>
  <si>
    <t xml:space="preserve">  GSCMTF | US-OCHA Global Project — Myanmar (MMR)  |  Region: South-East Asia</t>
  </si>
  <si>
    <t xml:space="preserve">  GSCMTF | US-OCHA Global Project — Syria (SYR)  |  Region: Middle East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</si>
</sst>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\v"/>
    <numFmt numFmtId="166" formatCode="\$#,##0"/>
    <numFmt numFmtId="167" formatCode="0.0%"/>
    <numFmt numFmtId="168" formatCode="#,##0"/>
    <numFmt numFmtId="169" formatCode="dd\-mmm\-yyyy"/>
    <numFmt numFmtId="170" formatCode="#,##0.00"/>
    <numFmt numFmtId="171" formatCode="\$#,##0.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9.5"/>
      <color rgb="FF005A8E"/>
      <name val="Arial"/>
      <family val="0"/>
      <charset val="1"/>
    </font>
    <font>
      <sz val="9.5"/>
      <color rgb="FF1C2D3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5A8E"/>
      <name val="Arial"/>
      <family val="0"/>
      <charset val="1"/>
    </font>
    <font>
      <sz val="10"/>
      <color rgb="FF000000"/>
      <name val="Arial"/>
      <family val="0"/>
      <charset val="1"/>
    </font>
    <font>
      <sz val="8"/>
      <color rgb="FF90AAC0"/>
      <name val="Arial"/>
      <family val="0"/>
      <charset val="1"/>
    </font>
    <font>
      <i val="true"/>
      <sz val="8"/>
      <color rgb="FF5A6A7A"/>
      <name val="Arial"/>
      <family val="0"/>
      <charset val="1"/>
    </font>
    <font>
      <b val="true"/>
      <sz val="9"/>
      <color rgb="FF005A8E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sz val="10"/>
      <color rgb="FF1C2D3E"/>
      <name val="Arial"/>
      <family val="0"/>
      <charset val="1"/>
    </font>
    <font>
      <i val="true"/>
      <sz val="9"/>
      <color rgb="FF7F8C8D"/>
      <name val="Arial"/>
      <family val="0"/>
      <charset val="1"/>
    </font>
    <font>
      <i val="true"/>
      <sz val="9"/>
      <color rgb="FF5A6A7A"/>
      <name val="Arial"/>
      <family val="0"/>
      <charset val="1"/>
    </font>
    <font>
      <b val="true"/>
      <sz val="9"/>
      <color rgb="FF7F8C8D"/>
      <name val="Arial"/>
      <family val="0"/>
      <charset val="1"/>
    </font>
    <font>
      <sz val="9.5"/>
      <color rgb="FF0000FF"/>
      <name val="Arial"/>
      <family val="0"/>
      <charset val="1"/>
    </font>
    <font>
      <sz val="9.5"/>
      <color rgb="FF00000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005A8E"/>
        <bgColor rgb="FF1A4F72"/>
      </patternFill>
    </fill>
    <fill>
      <patternFill patternType="solid">
        <fgColor rgb="FF0099CC"/>
        <bgColor rgb="FF00CCFF"/>
      </patternFill>
    </fill>
    <fill>
      <patternFill patternType="solid">
        <fgColor rgb="FFFAFCFE"/>
        <bgColor rgb="FFFFFFFF"/>
      </patternFill>
    </fill>
    <fill>
      <patternFill patternType="solid">
        <fgColor rgb="FF003D61"/>
        <bgColor rgb="FF0D3550"/>
      </patternFill>
    </fill>
    <fill>
      <patternFill patternType="solid">
        <fgColor rgb="FFEBF3FA"/>
        <bgColor rgb="FFEBF5FB"/>
      </patternFill>
    </fill>
    <fill>
      <patternFill patternType="solid">
        <fgColor rgb="FF1A3A5C"/>
        <bgColor rgb="FF0D3550"/>
      </patternFill>
    </fill>
    <fill>
      <patternFill patternType="solid">
        <fgColor rgb="FFFFFDE7"/>
        <bgColor rgb="FFFFFFFF"/>
      </patternFill>
    </fill>
    <fill>
      <patternFill patternType="solid">
        <fgColor rgb="FFF4F7FA"/>
        <bgColor rgb="FFF0F5FA"/>
      </patternFill>
    </fill>
    <fill>
      <patternFill patternType="solid">
        <fgColor rgb="FFF0F5FA"/>
        <bgColor rgb="FFEFF3F7"/>
      </patternFill>
    </fill>
    <fill>
      <patternFill patternType="solid">
        <fgColor rgb="FFEBF5FB"/>
        <bgColor rgb="FFEBF3FA"/>
      </patternFill>
    </fill>
    <fill>
      <patternFill patternType="solid">
        <fgColor rgb="FF7B241C"/>
        <bgColor rgb="FF6B0000"/>
      </patternFill>
    </fill>
    <fill>
      <patternFill patternType="solid">
        <fgColor rgb="FF6B0000"/>
        <bgColor rgb="FF4A0000"/>
      </patternFill>
    </fill>
    <fill>
      <patternFill patternType="solid">
        <fgColor rgb="FF1A4F72"/>
        <bgColor rgb="FF1A3A5C"/>
      </patternFill>
    </fill>
    <fill>
      <patternFill patternType="solid">
        <fgColor rgb="FFEFF3F7"/>
        <bgColor rgb="FFF0F5FA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C5D0DC"/>
      </left>
      <right style="thin">
        <color rgb="FFC5D0DC"/>
      </right>
      <top style="thin">
        <color rgb="FFC5D0DC"/>
      </top>
      <bottom style="thin">
        <color rgb="FFC5D0DC"/>
      </bottom>
      <diagonal/>
    </border>
    <border diagonalUp="false" diagonalDown="false">
      <left style="thin">
        <color rgb="FF003D61"/>
      </left>
      <right style="thin">
        <color rgb="FF003D61"/>
      </right>
      <top style="thin">
        <color rgb="FF003D61"/>
      </top>
      <bottom style="thin">
        <color rgb="FF003D61"/>
      </bottom>
      <diagonal/>
    </border>
    <border diagonalUp="false" diagonalDown="false">
      <left style="thin">
        <color rgb="FFC8A800"/>
      </left>
      <right style="thin">
        <color rgb="FFC8A800"/>
      </right>
      <top style="thin">
        <color rgb="FFC8A800"/>
      </top>
      <bottom style="thin">
        <color rgb="FFC8A800"/>
      </bottom>
      <diagonal/>
    </border>
    <border diagonalUp="false" diagonalDown="false">
      <left style="thin">
        <color rgb="FFDDE8EF"/>
      </left>
      <right style="thin">
        <color rgb="FFDDE8EF"/>
      </right>
      <top style="thin">
        <color rgb="FFDDE8EF"/>
      </top>
      <bottom style="thin">
        <color rgb="FFDDE8EF"/>
      </bottom>
      <diagonal/>
    </border>
    <border diagonalUp="false" diagonalDown="false">
      <left style="thin">
        <color rgb="FFA0B8CC"/>
      </left>
      <right style="thin">
        <color rgb="FFA0B8CC"/>
      </right>
      <top style="thin">
        <color rgb="FFA0B8CC"/>
      </top>
      <bottom style="thin">
        <color rgb="FFA0B8CC"/>
      </bottom>
      <diagonal/>
    </border>
    <border diagonalUp="false" diagonalDown="false">
      <left style="thin">
        <color rgb="FF4A0000"/>
      </left>
      <right style="thin">
        <color rgb="FF4A0000"/>
      </right>
      <top style="thin">
        <color rgb="FF4A0000"/>
      </top>
      <bottom style="thin">
        <color rgb="FF4A0000"/>
      </bottom>
      <diagonal/>
    </border>
    <border diagonalUp="false" diagonalDown="false">
      <left style="thin">
        <color rgb="FF0D3550"/>
      </left>
      <right style="thin">
        <color rgb="FF0D3550"/>
      </right>
      <top style="thin">
        <color rgb="FF0D3550"/>
      </top>
      <bottom style="thin">
        <color rgb="FF0D3550"/>
      </bottom>
      <diagonal/>
    </border>
    <border diagonalUp="false" diagonalDown="false">
      <left style="thin">
        <color rgb="FF0D3550"/>
      </left>
      <right/>
      <top style="thin">
        <color rgb="FF0D3550"/>
      </top>
      <bottom style="thin">
        <color rgb="FF0D355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8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9" fontId="16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6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16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11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11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11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6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6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1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1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2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22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4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23" fillId="11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0" fontId="22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22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23" fillId="11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11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B0000"/>
      <rgbColor rgb="FF008000"/>
      <rgbColor rgb="FF000080"/>
      <rgbColor rgb="FF808000"/>
      <rgbColor rgb="FF800080"/>
      <rgbColor rgb="FF0099CC"/>
      <rgbColor rgb="FFA0B8CC"/>
      <rgbColor rgb="FF7F8C8D"/>
      <rgbColor rgb="FF9999FF"/>
      <rgbColor rgb="FF993366"/>
      <rgbColor rgb="FFFFFDE7"/>
      <rgbColor rgb="FFEBF5FB"/>
      <rgbColor rgb="FF660066"/>
      <rgbColor rgb="FFFF8080"/>
      <rgbColor rgb="FF005A8E"/>
      <rgbColor rgb="FFC5D0DC"/>
      <rgbColor rgb="FF000080"/>
      <rgbColor rgb="FFFF00FF"/>
      <rgbColor rgb="FFFFFF00"/>
      <rgbColor rgb="FF00FFFF"/>
      <rgbColor rgb="FF800080"/>
      <rgbColor rgb="FF4A0000"/>
      <rgbColor rgb="FF1A4F72"/>
      <rgbColor rgb="FF0000FF"/>
      <rgbColor rgb="FF00CCFF"/>
      <rgbColor rgb="FFEBF3FA"/>
      <rgbColor rgb="FFDDE8EF"/>
      <rgbColor rgb="FFF4F7FA"/>
      <rgbColor rgb="FFF0F5FA"/>
      <rgbColor rgb="FFFAFCFE"/>
      <rgbColor rgb="FFCC99FF"/>
      <rgbColor rgb="FFEFF3F7"/>
      <rgbColor rgb="FF3366FF"/>
      <rgbColor rgb="FF33CCCC"/>
      <rgbColor rgb="FF99CC00"/>
      <rgbColor rgb="FFFFCC00"/>
      <rgbColor rgb="FFC8A800"/>
      <rgbColor rgb="FFFF6600"/>
      <rgbColor rgb="FF5A6A7A"/>
      <rgbColor rgb="FF90AAC0"/>
      <rgbColor rgb="FF003D61"/>
      <rgbColor rgb="FF339966"/>
      <rgbColor rgb="FF0D3550"/>
      <rgbColor rgb="FF333300"/>
      <rgbColor rgb="FF7B241C"/>
      <rgbColor rgb="FF993366"/>
      <rgbColor rgb="FF1A3A5C"/>
      <rgbColor rgb="FF1C2D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82"/>
  </cols>
  <sheetData>
    <row r="1" customFormat="false" ht="21.75" hidden="false" customHeight="true" outlineLevel="0" collapsed="false">
      <c r="A1" s="2" t="s">
        <v>0</v>
      </c>
      <c r="B1" s="2"/>
    </row>
    <row r="2" customFormat="false" ht="15.75" hidden="false" customHeight="true" outlineLevel="0" collapsed="false">
      <c r="A2" s="3" t="s">
        <v>1</v>
      </c>
      <c r="B2" s="3"/>
    </row>
    <row r="3" customFormat="false" ht="16.5" hidden="false" customHeight="true" outlineLevel="0" collapsed="false">
      <c r="A3" s="4"/>
      <c r="B3" s="5"/>
    </row>
    <row r="4" customFormat="false" ht="19.5" hidden="false" customHeight="true" outlineLevel="0" collapsed="false">
      <c r="A4" s="6" t="s">
        <v>2</v>
      </c>
      <c r="B4" s="6"/>
    </row>
    <row r="5" customFormat="false" ht="16.5" hidden="false" customHeight="true" outlineLevel="0" collapsed="false">
      <c r="A5" s="4"/>
      <c r="B5" s="5" t="s">
        <v>3</v>
      </c>
    </row>
    <row r="6" customFormat="false" ht="16.5" hidden="false" customHeight="true" outlineLevel="0" collapsed="false">
      <c r="A6" s="4"/>
      <c r="B6" s="5"/>
    </row>
    <row r="7" customFormat="false" ht="19.5" hidden="false" customHeight="true" outlineLevel="0" collapsed="false">
      <c r="A7" s="6" t="s">
        <v>4</v>
      </c>
      <c r="B7" s="6"/>
    </row>
    <row r="8" customFormat="false" ht="16.5" hidden="false" customHeight="true" outlineLevel="0" collapsed="false">
      <c r="A8" s="4" t="s">
        <v>5</v>
      </c>
      <c r="B8" s="5" t="s">
        <v>6</v>
      </c>
    </row>
    <row r="9" customFormat="false" ht="16.5" hidden="false" customHeight="true" outlineLevel="0" collapsed="false">
      <c r="A9" s="4" t="s">
        <v>7</v>
      </c>
      <c r="B9" s="5" t="s">
        <v>8</v>
      </c>
    </row>
    <row r="10" customFormat="false" ht="16.5" hidden="false" customHeight="true" outlineLevel="0" collapsed="false">
      <c r="A10" s="4" t="s">
        <v>9</v>
      </c>
      <c r="B10" s="5" t="s">
        <v>10</v>
      </c>
    </row>
    <row r="11" customFormat="false" ht="16.5" hidden="false" customHeight="true" outlineLevel="0" collapsed="false">
      <c r="A11" s="4" t="s">
        <v>11</v>
      </c>
      <c r="B11" s="5" t="s">
        <v>12</v>
      </c>
    </row>
    <row r="12" customFormat="false" ht="16.5" hidden="false" customHeight="true" outlineLevel="0" collapsed="false">
      <c r="A12" s="4" t="s">
        <v>13</v>
      </c>
      <c r="B12" s="5" t="s">
        <v>14</v>
      </c>
    </row>
    <row r="13" customFormat="false" ht="16.5" hidden="false" customHeight="true" outlineLevel="0" collapsed="false">
      <c r="A13" s="4" t="s">
        <v>15</v>
      </c>
      <c r="B13" s="5" t="s">
        <v>16</v>
      </c>
    </row>
    <row r="14" customFormat="false" ht="16.5" hidden="false" customHeight="true" outlineLevel="0" collapsed="false">
      <c r="A14" s="4" t="s">
        <v>17</v>
      </c>
      <c r="B14" s="5" t="s">
        <v>18</v>
      </c>
    </row>
    <row r="15" customFormat="false" ht="16.5" hidden="false" customHeight="true" outlineLevel="0" collapsed="false">
      <c r="A15" s="4"/>
      <c r="B15" s="5"/>
    </row>
    <row r="16" customFormat="false" ht="19.5" hidden="false" customHeight="true" outlineLevel="0" collapsed="false">
      <c r="A16" s="6" t="s">
        <v>19</v>
      </c>
      <c r="B16" s="6"/>
    </row>
    <row r="17" customFormat="false" ht="16.5" hidden="false" customHeight="true" outlineLevel="0" collapsed="false">
      <c r="A17" s="4" t="s">
        <v>20</v>
      </c>
      <c r="B17" s="5" t="s">
        <v>21</v>
      </c>
    </row>
    <row r="18" customFormat="false" ht="16.5" hidden="false" customHeight="true" outlineLevel="0" collapsed="false">
      <c r="A18" s="4" t="s">
        <v>22</v>
      </c>
      <c r="B18" s="5" t="s">
        <v>23</v>
      </c>
    </row>
    <row r="19" customFormat="false" ht="16.5" hidden="false" customHeight="true" outlineLevel="0" collapsed="false">
      <c r="A19" s="4" t="s">
        <v>24</v>
      </c>
      <c r="B19" s="5" t="s">
        <v>25</v>
      </c>
    </row>
    <row r="20" customFormat="false" ht="16.5" hidden="false" customHeight="true" outlineLevel="0" collapsed="false">
      <c r="A20" s="4"/>
      <c r="B20" s="5"/>
    </row>
    <row r="21" customFormat="false" ht="19.5" hidden="false" customHeight="true" outlineLevel="0" collapsed="false">
      <c r="A21" s="6" t="s">
        <v>26</v>
      </c>
      <c r="B21" s="6"/>
    </row>
    <row r="22" customFormat="false" ht="16.5" hidden="false" customHeight="true" outlineLevel="0" collapsed="false">
      <c r="A22" s="4" t="s">
        <v>27</v>
      </c>
      <c r="B22" s="5" t="s">
        <v>28</v>
      </c>
    </row>
    <row r="23" customFormat="false" ht="16.5" hidden="false" customHeight="true" outlineLevel="0" collapsed="false">
      <c r="A23" s="4" t="s">
        <v>29</v>
      </c>
      <c r="B23" s="5" t="s">
        <v>30</v>
      </c>
    </row>
    <row r="24" customFormat="false" ht="16.5" hidden="false" customHeight="true" outlineLevel="0" collapsed="false">
      <c r="A24" s="4" t="s">
        <v>31</v>
      </c>
      <c r="B24" s="5" t="s">
        <v>32</v>
      </c>
    </row>
    <row r="25" customFormat="false" ht="16.5" hidden="false" customHeight="true" outlineLevel="0" collapsed="false">
      <c r="A25" s="4" t="s">
        <v>33</v>
      </c>
      <c r="B25" s="5" t="s">
        <v>34</v>
      </c>
    </row>
    <row r="26" customFormat="false" ht="16.5" hidden="false" customHeight="true" outlineLevel="0" collapsed="false">
      <c r="A26" s="4" t="s">
        <v>35</v>
      </c>
      <c r="B26" s="5" t="s">
        <v>36</v>
      </c>
    </row>
    <row r="27" customFormat="false" ht="16.5" hidden="false" customHeight="true" outlineLevel="0" collapsed="false">
      <c r="A27" s="4" t="s">
        <v>37</v>
      </c>
      <c r="B27" s="5" t="s">
        <v>38</v>
      </c>
    </row>
    <row r="28" customFormat="false" ht="16.5" hidden="false" customHeight="true" outlineLevel="0" collapsed="false">
      <c r="A28" s="4" t="s">
        <v>39</v>
      </c>
      <c r="B28" s="5" t="s">
        <v>40</v>
      </c>
    </row>
    <row r="29" customFormat="false" ht="16.5" hidden="false" customHeight="true" outlineLevel="0" collapsed="false">
      <c r="A29" s="4" t="s">
        <v>41</v>
      </c>
      <c r="B29" s="5" t="s">
        <v>42</v>
      </c>
    </row>
    <row r="30" customFormat="false" ht="16.5" hidden="false" customHeight="true" outlineLevel="0" collapsed="false">
      <c r="A30" s="4" t="s">
        <v>43</v>
      </c>
      <c r="B30" s="5" t="s">
        <v>44</v>
      </c>
    </row>
    <row r="31" customFormat="false" ht="16.5" hidden="false" customHeight="true" outlineLevel="0" collapsed="false">
      <c r="A31" s="4"/>
      <c r="B31" s="5"/>
    </row>
    <row r="32" customFormat="false" ht="19.5" hidden="false" customHeight="true" outlineLevel="0" collapsed="false">
      <c r="A32" s="6" t="s">
        <v>45</v>
      </c>
      <c r="B32" s="6"/>
    </row>
    <row r="33" customFormat="false" ht="16.5" hidden="false" customHeight="true" outlineLevel="0" collapsed="false">
      <c r="A33" s="4" t="s">
        <v>46</v>
      </c>
      <c r="B33" s="5" t="s">
        <v>47</v>
      </c>
    </row>
    <row r="34" customFormat="false" ht="16.5" hidden="false" customHeight="true" outlineLevel="0" collapsed="false">
      <c r="A34" s="4" t="s">
        <v>48</v>
      </c>
      <c r="B34" s="5" t="s">
        <v>49</v>
      </c>
    </row>
    <row r="35" customFormat="false" ht="16.5" hidden="false" customHeight="true" outlineLevel="0" collapsed="false">
      <c r="A35" s="4" t="s">
        <v>50</v>
      </c>
      <c r="B35" s="5" t="s">
        <v>51</v>
      </c>
    </row>
    <row r="36" customFormat="false" ht="16.5" hidden="false" customHeight="true" outlineLevel="0" collapsed="false">
      <c r="A36" s="4"/>
      <c r="B36" s="5"/>
    </row>
    <row r="37" customFormat="false" ht="16.5" hidden="false" customHeight="true" outlineLevel="0" collapsed="false">
      <c r="A37" s="4" t="s">
        <v>52</v>
      </c>
      <c r="B37" s="5" t="s">
        <v>53</v>
      </c>
    </row>
    <row r="38" customFormat="false" ht="16.5" hidden="false" customHeight="true" outlineLevel="0" collapsed="false">
      <c r="A38" s="4" t="s">
        <v>54</v>
      </c>
      <c r="B38" s="5" t="s">
        <v>55</v>
      </c>
    </row>
    <row r="39" customFormat="false" ht="16.5" hidden="false" customHeight="true" outlineLevel="0" collapsed="false">
      <c r="A39" s="4" t="s">
        <v>56</v>
      </c>
      <c r="B39" s="5" t="s">
        <v>57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4" min="3" style="1" width="13"/>
    <col collapsed="false" customWidth="true" hidden="false" outlineLevel="0" max="5" min="5" style="1" width="10"/>
    <col collapsed="false" customWidth="true" hidden="false" outlineLevel="0" max="7" min="6" style="1" width="14"/>
    <col collapsed="false" customWidth="true" hidden="false" outlineLevel="0" max="8" min="8" style="1" width="10"/>
    <col collapsed="false" customWidth="true" hidden="false" outlineLevel="0" max="9" min="9" style="1" width="13"/>
    <col collapsed="false" customWidth="true" hidden="false" outlineLevel="0" max="12" min="10" style="1" width="12"/>
    <col collapsed="false" customWidth="true" hidden="false" outlineLevel="0" max="13" min="13" style="1" width="11"/>
    <col collapsed="false" customWidth="true" hidden="false" outlineLevel="0" max="14" min="14" style="1" width="13"/>
  </cols>
  <sheetData>
    <row r="1" customFormat="false" ht="21.75" hidden="false" customHeight="true" outlineLevel="0" collapsed="false">
      <c r="A1" s="7" t="s">
        <v>58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customFormat="false" ht="15.75" hidden="false" customHeight="true" outlineLevel="0" collapsed="false">
      <c r="A2" s="3" t="s">
        <v>59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6" hidden="false" customHeight="true" outlineLevel="0" collapsed="false"/>
    <row r="4" customFormat="false" ht="36" hidden="false" customHeight="true" outlineLevel="0" collapsed="false">
      <c r="A4" s="8" t="s">
        <v>60</v>
      </c>
      <c r="B4" s="8" t="s">
        <v>61</v>
      </c>
      <c r="C4" s="8" t="s">
        <v>62</v>
      </c>
      <c r="D4" s="8" t="s">
        <v>63</v>
      </c>
      <c r="E4" s="8" t="s">
        <v>64</v>
      </c>
      <c r="F4" s="8" t="s">
        <v>65</v>
      </c>
      <c r="G4" s="8" t="s">
        <v>66</v>
      </c>
      <c r="H4" s="8" t="s">
        <v>67</v>
      </c>
      <c r="I4" s="8" t="s">
        <v>68</v>
      </c>
      <c r="J4" s="8" t="s">
        <v>69</v>
      </c>
      <c r="K4" s="8" t="s">
        <v>70</v>
      </c>
      <c r="L4" s="8" t="s">
        <v>71</v>
      </c>
      <c r="M4" s="8" t="s">
        <v>72</v>
      </c>
      <c r="N4" s="8" t="s">
        <v>73</v>
      </c>
    </row>
    <row r="5" customFormat="false" ht="19.5" hidden="false" customHeight="true" outlineLevel="0" collapsed="false">
      <c r="A5" s="9" t="s">
        <v>74</v>
      </c>
      <c r="B5" s="10" t="str">
        <f aca="false">Bangladesh!B6</f>
        <v>On Track</v>
      </c>
      <c r="C5" s="11" t="n">
        <f aca="false">Bangladesh!B7</f>
        <v>4500000</v>
      </c>
      <c r="D5" s="11" t="n">
        <f aca="false">Bangladesh!B8</f>
        <v>1602000</v>
      </c>
      <c r="E5" s="12" t="n">
        <f aca="false">Bangladesh!B11</f>
        <v>0.356</v>
      </c>
      <c r="F5" s="13" t="n">
        <f aca="false">Bangladesh!B12</f>
        <v>125000</v>
      </c>
      <c r="G5" s="13" t="n">
        <f aca="false">Bangladesh!B13</f>
        <v>58000</v>
      </c>
      <c r="H5" s="12" t="n">
        <f aca="false">Bangladesh!B14</f>
        <v>0.464</v>
      </c>
      <c r="I5" s="12" t="n">
        <f aca="false">Bangladesh!B17</f>
        <v>0.416666666666667</v>
      </c>
      <c r="J5" s="13" t="n">
        <f aca="false">Bangladesh!B40</f>
        <v>12</v>
      </c>
      <c r="K5" s="13" t="n">
        <f aca="false">Bangladesh!B44</f>
        <v>620</v>
      </c>
      <c r="L5" s="13" t="n">
        <f aca="false">Bangladesh!B45</f>
        <v>180</v>
      </c>
      <c r="M5" s="12" t="n">
        <f aca="false">Bangladesh!B69</f>
        <v>0.75</v>
      </c>
      <c r="N5" s="14" t="str">
        <f aca="false">Bangladesh!B70</f>
        <v>Low</v>
      </c>
    </row>
    <row r="6" customFormat="false" ht="19.5" hidden="false" customHeight="true" outlineLevel="0" collapsed="false">
      <c r="A6" s="15" t="s">
        <v>75</v>
      </c>
      <c r="B6" s="16" t="str">
        <f aca="false">Chad!B6</f>
        <v>At Risk</v>
      </c>
      <c r="C6" s="17" t="n">
        <f aca="false">Chad!B7</f>
        <v>6200000</v>
      </c>
      <c r="D6" s="17" t="n">
        <f aca="false">Chad!B8</f>
        <v>1850000</v>
      </c>
      <c r="E6" s="18" t="n">
        <f aca="false">Chad!B11</f>
        <v>0.298387096774194</v>
      </c>
      <c r="F6" s="19" t="n">
        <f aca="false">Chad!B12</f>
        <v>210000</v>
      </c>
      <c r="G6" s="19" t="n">
        <f aca="false">Chad!B13</f>
        <v>52000</v>
      </c>
      <c r="H6" s="18" t="n">
        <f aca="false">Chad!B14</f>
        <v>0.247619047619048</v>
      </c>
      <c r="I6" s="18" t="n">
        <f aca="false">Chad!B17</f>
        <v>0.214285714285714</v>
      </c>
      <c r="J6" s="19" t="n">
        <f aca="false">Chad!B40</f>
        <v>8</v>
      </c>
      <c r="K6" s="19" t="n">
        <f aca="false">Chad!B44</f>
        <v>310</v>
      </c>
      <c r="L6" s="19" t="n">
        <f aca="false">Chad!B45</f>
        <v>90</v>
      </c>
      <c r="M6" s="18" t="n">
        <f aca="false">Chad!B69</f>
        <v>0.44</v>
      </c>
      <c r="N6" s="20" t="str">
        <f aca="false">Chad!B70</f>
        <v>High</v>
      </c>
    </row>
    <row r="7" customFormat="false" ht="19.5" hidden="false" customHeight="true" outlineLevel="0" collapsed="false">
      <c r="A7" s="9" t="s">
        <v>76</v>
      </c>
      <c r="B7" s="10" t="n">
        <f aca="false">Colombia!B6</f>
        <v>0</v>
      </c>
      <c r="C7" s="11" t="n">
        <f aca="false">Colombia!B7</f>
        <v>0</v>
      </c>
      <c r="D7" s="11" t="n">
        <f aca="false">Colombia!B8</f>
        <v>0</v>
      </c>
      <c r="E7" s="12" t="str">
        <f aca="false">Colombia!B11</f>
        <v/>
      </c>
      <c r="F7" s="13" t="n">
        <f aca="false">Colombia!B12</f>
        <v>0</v>
      </c>
      <c r="G7" s="13" t="n">
        <f aca="false">Colombia!B13</f>
        <v>0</v>
      </c>
      <c r="H7" s="12" t="str">
        <f aca="false">Colombia!B14</f>
        <v/>
      </c>
      <c r="I7" s="12" t="str">
        <f aca="false">Colombia!B17</f>
        <v/>
      </c>
      <c r="J7" s="13" t="n">
        <f aca="false">Colombia!B40</f>
        <v>0</v>
      </c>
      <c r="K7" s="13" t="n">
        <f aca="false">Colombia!B44</f>
        <v>0</v>
      </c>
      <c r="L7" s="13" t="n">
        <f aca="false">Colombia!B45</f>
        <v>0</v>
      </c>
      <c r="M7" s="12" t="n">
        <f aca="false">Colombia!B69</f>
        <v>0</v>
      </c>
      <c r="N7" s="14" t="n">
        <f aca="false">Colombia!B70</f>
        <v>0</v>
      </c>
    </row>
    <row r="8" customFormat="false" ht="19.5" hidden="false" customHeight="true" outlineLevel="0" collapsed="false">
      <c r="A8" s="15" t="s">
        <v>77</v>
      </c>
      <c r="B8" s="16" t="n">
        <f aca="false">DRC!B6</f>
        <v>0</v>
      </c>
      <c r="C8" s="17" t="n">
        <f aca="false">DRC!B7</f>
        <v>0</v>
      </c>
      <c r="D8" s="17" t="n">
        <f aca="false">DRC!B8</f>
        <v>0</v>
      </c>
      <c r="E8" s="18" t="str">
        <f aca="false">DRC!B11</f>
        <v/>
      </c>
      <c r="F8" s="19" t="n">
        <f aca="false">DRC!B12</f>
        <v>0</v>
      </c>
      <c r="G8" s="19" t="n">
        <f aca="false">DRC!B13</f>
        <v>0</v>
      </c>
      <c r="H8" s="18" t="str">
        <f aca="false">DRC!B14</f>
        <v/>
      </c>
      <c r="I8" s="18" t="str">
        <f aca="false">DRC!B17</f>
        <v/>
      </c>
      <c r="J8" s="19" t="n">
        <f aca="false">DRC!B40</f>
        <v>0</v>
      </c>
      <c r="K8" s="19" t="n">
        <f aca="false">DRC!B44</f>
        <v>0</v>
      </c>
      <c r="L8" s="19" t="n">
        <f aca="false">DRC!B45</f>
        <v>0</v>
      </c>
      <c r="M8" s="18" t="n">
        <f aca="false">DRC!B69</f>
        <v>0</v>
      </c>
      <c r="N8" s="20" t="n">
        <f aca="false">DRC!B70</f>
        <v>0</v>
      </c>
    </row>
    <row r="9" customFormat="false" ht="19.5" hidden="false" customHeight="true" outlineLevel="0" collapsed="false">
      <c r="A9" s="9" t="s">
        <v>78</v>
      </c>
      <c r="B9" s="10" t="n">
        <f aca="false">Ethiopia!B6</f>
        <v>0</v>
      </c>
      <c r="C9" s="11" t="n">
        <f aca="false">Ethiopia!B7</f>
        <v>0</v>
      </c>
      <c r="D9" s="11" t="n">
        <f aca="false">Ethiopia!B8</f>
        <v>0</v>
      </c>
      <c r="E9" s="12" t="str">
        <f aca="false">Ethiopia!B11</f>
        <v/>
      </c>
      <c r="F9" s="13" t="n">
        <f aca="false">Ethiopia!B12</f>
        <v>0</v>
      </c>
      <c r="G9" s="13" t="n">
        <f aca="false">Ethiopia!B13</f>
        <v>0</v>
      </c>
      <c r="H9" s="12" t="str">
        <f aca="false">Ethiopia!B14</f>
        <v/>
      </c>
      <c r="I9" s="12" t="str">
        <f aca="false">Ethiopia!B17</f>
        <v/>
      </c>
      <c r="J9" s="13" t="n">
        <f aca="false">Ethiopia!B40</f>
        <v>0</v>
      </c>
      <c r="K9" s="13" t="n">
        <f aca="false">Ethiopia!B44</f>
        <v>0</v>
      </c>
      <c r="L9" s="13" t="n">
        <f aca="false">Ethiopia!B45</f>
        <v>0</v>
      </c>
      <c r="M9" s="12" t="n">
        <f aca="false">Ethiopia!B69</f>
        <v>0</v>
      </c>
      <c r="N9" s="14" t="n">
        <f aca="false">Ethiopia!B70</f>
        <v>0</v>
      </c>
    </row>
    <row r="10" customFormat="false" ht="19.5" hidden="false" customHeight="true" outlineLevel="0" collapsed="false">
      <c r="A10" s="15" t="s">
        <v>79</v>
      </c>
      <c r="B10" s="16" t="n">
        <f aca="false">Haiti!B6</f>
        <v>0</v>
      </c>
      <c r="C10" s="17" t="n">
        <f aca="false">Haiti!B7</f>
        <v>0</v>
      </c>
      <c r="D10" s="17" t="n">
        <f aca="false">Haiti!B8</f>
        <v>0</v>
      </c>
      <c r="E10" s="18" t="str">
        <f aca="false">Haiti!B11</f>
        <v/>
      </c>
      <c r="F10" s="19" t="n">
        <f aca="false">Haiti!B12</f>
        <v>0</v>
      </c>
      <c r="G10" s="19" t="n">
        <f aca="false">Haiti!B13</f>
        <v>0</v>
      </c>
      <c r="H10" s="18" t="str">
        <f aca="false">Haiti!B14</f>
        <v/>
      </c>
      <c r="I10" s="18" t="str">
        <f aca="false">Haiti!B17</f>
        <v/>
      </c>
      <c r="J10" s="19" t="n">
        <f aca="false">Haiti!B40</f>
        <v>0</v>
      </c>
      <c r="K10" s="19" t="n">
        <f aca="false">Haiti!B44</f>
        <v>0</v>
      </c>
      <c r="L10" s="19" t="n">
        <f aca="false">Haiti!B45</f>
        <v>0</v>
      </c>
      <c r="M10" s="18" t="n">
        <f aca="false">Haiti!B69</f>
        <v>0</v>
      </c>
      <c r="N10" s="20" t="n">
        <f aca="false">Haiti!B70</f>
        <v>0</v>
      </c>
    </row>
    <row r="11" customFormat="false" ht="19.5" hidden="false" customHeight="true" outlineLevel="0" collapsed="false">
      <c r="A11" s="9" t="s">
        <v>80</v>
      </c>
      <c r="B11" s="10" t="n">
        <f aca="false">Honduras!B6</f>
        <v>0</v>
      </c>
      <c r="C11" s="11" t="n">
        <f aca="false">Honduras!B7</f>
        <v>0</v>
      </c>
      <c r="D11" s="11" t="n">
        <f aca="false">Honduras!B8</f>
        <v>0</v>
      </c>
      <c r="E11" s="12" t="str">
        <f aca="false">Honduras!B11</f>
        <v/>
      </c>
      <c r="F11" s="13" t="n">
        <f aca="false">Honduras!B12</f>
        <v>0</v>
      </c>
      <c r="G11" s="13" t="n">
        <f aca="false">Honduras!B13</f>
        <v>0</v>
      </c>
      <c r="H11" s="12" t="str">
        <f aca="false">Honduras!B14</f>
        <v/>
      </c>
      <c r="I11" s="12" t="str">
        <f aca="false">Honduras!B17</f>
        <v/>
      </c>
      <c r="J11" s="13" t="n">
        <f aca="false">Honduras!B40</f>
        <v>0</v>
      </c>
      <c r="K11" s="13" t="n">
        <f aca="false">Honduras!B44</f>
        <v>0</v>
      </c>
      <c r="L11" s="13" t="n">
        <f aca="false">Honduras!B45</f>
        <v>0</v>
      </c>
      <c r="M11" s="12" t="n">
        <f aca="false">Honduras!B69</f>
        <v>0</v>
      </c>
      <c r="N11" s="14" t="n">
        <f aca="false">Honduras!B70</f>
        <v>0</v>
      </c>
    </row>
    <row r="12" customFormat="false" ht="19.5" hidden="false" customHeight="true" outlineLevel="0" collapsed="false">
      <c r="A12" s="15" t="s">
        <v>81</v>
      </c>
      <c r="B12" s="16" t="n">
        <f aca="false">Myanmar!B6</f>
        <v>0</v>
      </c>
      <c r="C12" s="17" t="n">
        <f aca="false">Myanmar!B7</f>
        <v>0</v>
      </c>
      <c r="D12" s="17" t="n">
        <f aca="false">Myanmar!B8</f>
        <v>0</v>
      </c>
      <c r="E12" s="18" t="str">
        <f aca="false">Myanmar!B11</f>
        <v/>
      </c>
      <c r="F12" s="19" t="n">
        <f aca="false">Myanmar!B12</f>
        <v>0</v>
      </c>
      <c r="G12" s="19" t="n">
        <f aca="false">Myanmar!B13</f>
        <v>0</v>
      </c>
      <c r="H12" s="18" t="str">
        <f aca="false">Myanmar!B14</f>
        <v/>
      </c>
      <c r="I12" s="18" t="str">
        <f aca="false">Myanmar!B17</f>
        <v/>
      </c>
      <c r="J12" s="19" t="n">
        <f aca="false">Myanmar!B40</f>
        <v>0</v>
      </c>
      <c r="K12" s="19" t="n">
        <f aca="false">Myanmar!B44</f>
        <v>0</v>
      </c>
      <c r="L12" s="19" t="n">
        <f aca="false">Myanmar!B45</f>
        <v>0</v>
      </c>
      <c r="M12" s="18" t="n">
        <f aca="false">Myanmar!B69</f>
        <v>0</v>
      </c>
      <c r="N12" s="20" t="n">
        <f aca="false">Myanmar!B70</f>
        <v>0</v>
      </c>
    </row>
    <row r="13" customFormat="false" ht="19.5" hidden="false" customHeight="true" outlineLevel="0" collapsed="false">
      <c r="A13" s="9" t="s">
        <v>82</v>
      </c>
      <c r="B13" s="10" t="n">
        <f aca="false">Syria!B6</f>
        <v>0</v>
      </c>
      <c r="C13" s="11" t="n">
        <f aca="false">Syria!B7</f>
        <v>0</v>
      </c>
      <c r="D13" s="11" t="n">
        <f aca="false">Syria!B8</f>
        <v>0</v>
      </c>
      <c r="E13" s="12" t="str">
        <f aca="false">Syria!B11</f>
        <v/>
      </c>
      <c r="F13" s="13" t="n">
        <f aca="false">Syria!B12</f>
        <v>0</v>
      </c>
      <c r="G13" s="13" t="n">
        <f aca="false">Syria!B13</f>
        <v>0</v>
      </c>
      <c r="H13" s="12" t="str">
        <f aca="false">Syria!B14</f>
        <v/>
      </c>
      <c r="I13" s="12" t="str">
        <f aca="false">Syria!B17</f>
        <v/>
      </c>
      <c r="J13" s="13" t="n">
        <f aca="false">Syria!B40</f>
        <v>0</v>
      </c>
      <c r="K13" s="13" t="n">
        <f aca="false">Syria!B44</f>
        <v>0</v>
      </c>
      <c r="L13" s="13" t="n">
        <f aca="false">Syria!B45</f>
        <v>0</v>
      </c>
      <c r="M13" s="12" t="n">
        <f aca="false">Syria!B69</f>
        <v>0</v>
      </c>
      <c r="N13" s="14" t="n">
        <f aca="false">Syria!B70</f>
        <v>0</v>
      </c>
    </row>
    <row r="14" customFormat="false" ht="21.75" hidden="false" customHeight="true" outlineLevel="0" collapsed="false">
      <c r="A14" s="21" t="s">
        <v>83</v>
      </c>
      <c r="B14" s="21"/>
      <c r="C14" s="22" t="n">
        <f aca="false">SUM(C5:C13)</f>
        <v>10700000</v>
      </c>
      <c r="D14" s="22" t="n">
        <f aca="false">SUM(D5:D13)</f>
        <v>3452000</v>
      </c>
      <c r="E14" s="23" t="n">
        <f aca="false">IFERROR(D14/C14,"")</f>
        <v>0.322616822429907</v>
      </c>
      <c r="F14" s="24" t="n">
        <f aca="false">SUM(F5:F13)</f>
        <v>335000</v>
      </c>
      <c r="G14" s="24" t="n">
        <f aca="false">SUM(G5:G13)</f>
        <v>110000</v>
      </c>
      <c r="H14" s="23" t="n">
        <f aca="false">IFERROR(G14/F14,"")</f>
        <v>0.328358208955224</v>
      </c>
      <c r="I14" s="25"/>
      <c r="J14" s="24" t="n">
        <f aca="false">SUM(J5:J13)</f>
        <v>20</v>
      </c>
      <c r="K14" s="24" t="n">
        <f aca="false">SUM(K5:K13)</f>
        <v>930</v>
      </c>
      <c r="L14" s="24" t="n">
        <f aca="false">SUM(L5:L13)</f>
        <v>270</v>
      </c>
      <c r="M14" s="23" t="n">
        <f aca="false">IFERROR(AVERAGE(M5:M13),"")</f>
        <v>0.132222222222222</v>
      </c>
      <c r="N14" s="25"/>
    </row>
    <row r="16" customFormat="false" ht="13.5" hidden="false" customHeight="true" outlineLevel="0" collapsed="false">
      <c r="A16" s="26" t="s">
        <v>84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</row>
    <row r="17" customFormat="false" ht="27.75" hidden="false" customHeight="true" outlineLevel="0" collapsed="false">
      <c r="A17" s="27" t="s">
        <v>85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</row>
  </sheetData>
  <mergeCells count="5">
    <mergeCell ref="A1:N1"/>
    <mergeCell ref="A2:N2"/>
    <mergeCell ref="A14:B14"/>
    <mergeCell ref="A16:N16"/>
    <mergeCell ref="A17:N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4"/>
    <col collapsed="false" customWidth="true" hidden="false" outlineLevel="0" max="3" min="3" style="1" width="10"/>
    <col collapsed="false" customWidth="true" hidden="false" outlineLevel="0" max="4" min="4" style="1" width="38"/>
    <col collapsed="false" customWidth="true" hidden="false" outlineLevel="0" max="5" min="5" style="1" width="20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8"/>
    <col collapsed="false" customWidth="true" hidden="false" outlineLevel="0" max="9" min="9" style="1" width="20"/>
    <col collapsed="false" customWidth="true" hidden="false" outlineLevel="0" max="10" min="10" style="1" width="13"/>
    <col collapsed="false" customWidth="true" hidden="false" outlineLevel="0" max="12" min="11" style="1" width="14"/>
    <col collapsed="false" customWidth="true" hidden="false" outlineLevel="0" max="13" min="13" style="1" width="16"/>
    <col collapsed="false" customWidth="true" hidden="false" outlineLevel="0" max="14" min="14" style="1" width="26"/>
  </cols>
  <sheetData>
    <row r="1" customFormat="false" ht="21.75" hidden="false" customHeight="true" outlineLevel="0" collapsed="false">
      <c r="A1" s="2" t="s">
        <v>86</v>
      </c>
      <c r="B1" s="2"/>
      <c r="C1" s="2"/>
      <c r="D1" s="2"/>
    </row>
    <row r="2" customFormat="false" ht="16.5" hidden="false" customHeight="true" outlineLevel="0" collapsed="false">
      <c r="A2" s="3" t="s">
        <v>87</v>
      </c>
      <c r="B2" s="3"/>
      <c r="C2" s="3"/>
      <c r="D2" s="3"/>
    </row>
    <row r="3" customFormat="false" ht="16.5" hidden="false" customHeight="true" outlineLevel="0" collapsed="false">
      <c r="A3" s="28" t="s">
        <v>88</v>
      </c>
      <c r="B3" s="29"/>
      <c r="C3" s="30" t="s">
        <v>89</v>
      </c>
      <c r="D3" s="31"/>
    </row>
    <row r="4" customFormat="false" ht="4.5" hidden="false" customHeight="true" outlineLevel="0" collapsed="false"/>
    <row r="5" customFormat="false" ht="19.5" hidden="false" customHeight="true" outlineLevel="0" collapsed="false">
      <c r="A5" s="32" t="s">
        <v>90</v>
      </c>
      <c r="B5" s="32"/>
      <c r="C5" s="32"/>
      <c r="D5" s="32"/>
    </row>
    <row r="6" customFormat="false" ht="18" hidden="false" customHeight="true" outlineLevel="0" collapsed="false">
      <c r="A6" s="33" t="s">
        <v>91</v>
      </c>
      <c r="B6" s="34" t="s">
        <v>92</v>
      </c>
      <c r="C6" s="35"/>
      <c r="D6" s="36" t="s">
        <v>93</v>
      </c>
    </row>
    <row r="7" customFormat="false" ht="18" hidden="false" customHeight="true" outlineLevel="0" collapsed="false">
      <c r="A7" s="37" t="s">
        <v>94</v>
      </c>
      <c r="B7" s="38" t="n">
        <v>4500000</v>
      </c>
      <c r="C7" s="35" t="s">
        <v>95</v>
      </c>
      <c r="D7" s="36" t="s">
        <v>96</v>
      </c>
    </row>
    <row r="8" customFormat="false" ht="18" hidden="false" customHeight="true" outlineLevel="0" collapsed="false">
      <c r="A8" s="33" t="s">
        <v>97</v>
      </c>
      <c r="B8" s="39" t="n">
        <f aca="false">IFERROR(SUMIF(H91:H125,"Spent",F91:F125),0)</f>
        <v>1602000</v>
      </c>
      <c r="C8" s="35" t="s">
        <v>95</v>
      </c>
      <c r="D8" s="36" t="s">
        <v>98</v>
      </c>
    </row>
    <row r="9" customFormat="false" ht="18" hidden="false" customHeight="true" outlineLevel="0" collapsed="false">
      <c r="A9" s="37" t="s">
        <v>99</v>
      </c>
      <c r="B9" s="39" t="n">
        <f aca="false">IFERROR(SUMIF(H91:H125,"Committed",F91:F125),0)</f>
        <v>415000</v>
      </c>
      <c r="C9" s="35" t="s">
        <v>95</v>
      </c>
      <c r="D9" s="36" t="s">
        <v>98</v>
      </c>
    </row>
    <row r="10" customFormat="false" ht="18" hidden="false" customHeight="true" outlineLevel="0" collapsed="false">
      <c r="A10" s="33" t="s">
        <v>100</v>
      </c>
      <c r="B10" s="40" t="n">
        <f aca="false">IFERROR(B7-B8-B9,"")</f>
        <v>2483000</v>
      </c>
      <c r="C10" s="35" t="s">
        <v>95</v>
      </c>
      <c r="D10" s="36" t="s">
        <v>101</v>
      </c>
    </row>
    <row r="11" customFormat="false" ht="18" hidden="false" customHeight="true" outlineLevel="0" collapsed="false">
      <c r="A11" s="37" t="s">
        <v>102</v>
      </c>
      <c r="B11" s="41" t="n">
        <f aca="false">IFERROR(B8/B7,"")</f>
        <v>0.356</v>
      </c>
      <c r="C11" s="35" t="s">
        <v>103</v>
      </c>
      <c r="D11" s="36" t="s">
        <v>104</v>
      </c>
    </row>
    <row r="12" customFormat="false" ht="18" hidden="false" customHeight="true" outlineLevel="0" collapsed="false">
      <c r="A12" s="33" t="s">
        <v>105</v>
      </c>
      <c r="B12" s="42" t="n">
        <v>125000</v>
      </c>
      <c r="C12" s="35" t="s">
        <v>106</v>
      </c>
      <c r="D12" s="36" t="s">
        <v>107</v>
      </c>
    </row>
    <row r="13" customFormat="false" ht="18" hidden="false" customHeight="true" outlineLevel="0" collapsed="false">
      <c r="A13" s="37" t="s">
        <v>108</v>
      </c>
      <c r="B13" s="42" t="n">
        <v>58000</v>
      </c>
      <c r="C13" s="35" t="s">
        <v>106</v>
      </c>
      <c r="D13" s="36" t="s">
        <v>109</v>
      </c>
    </row>
    <row r="14" customFormat="false" ht="18" hidden="false" customHeight="true" outlineLevel="0" collapsed="false">
      <c r="A14" s="33" t="s">
        <v>110</v>
      </c>
      <c r="B14" s="41" t="n">
        <f aca="false">IFERROR(B13/B12,"")</f>
        <v>0.464</v>
      </c>
      <c r="C14" s="35" t="s">
        <v>103</v>
      </c>
      <c r="D14" s="36" t="s">
        <v>104</v>
      </c>
    </row>
    <row r="15" customFormat="false" ht="18" hidden="false" customHeight="true" outlineLevel="0" collapsed="false">
      <c r="A15" s="37" t="s">
        <v>111</v>
      </c>
      <c r="B15" s="31" t="n">
        <v>12</v>
      </c>
      <c r="C15" s="35" t="s">
        <v>112</v>
      </c>
      <c r="D15" s="36" t="s">
        <v>113</v>
      </c>
    </row>
    <row r="16" customFormat="false" ht="18" hidden="false" customHeight="true" outlineLevel="0" collapsed="false">
      <c r="A16" s="33" t="s">
        <v>114</v>
      </c>
      <c r="B16" s="31" t="n">
        <v>5</v>
      </c>
      <c r="C16" s="35" t="s">
        <v>112</v>
      </c>
      <c r="D16" s="36" t="s">
        <v>115</v>
      </c>
    </row>
    <row r="17" customFormat="false" ht="18" hidden="false" customHeight="true" outlineLevel="0" collapsed="false">
      <c r="A17" s="37" t="s">
        <v>116</v>
      </c>
      <c r="B17" s="41" t="n">
        <f aca="false">IFERROR(B16/B15,"")</f>
        <v>0.416666666666667</v>
      </c>
      <c r="C17" s="35" t="s">
        <v>103</v>
      </c>
      <c r="D17" s="36" t="s">
        <v>104</v>
      </c>
    </row>
    <row r="18" customFormat="false" ht="18" hidden="false" customHeight="true" outlineLevel="0" collapsed="false">
      <c r="A18" s="33" t="s">
        <v>117</v>
      </c>
      <c r="B18" s="29" t="n">
        <v>46127</v>
      </c>
      <c r="C18" s="35" t="s">
        <v>118</v>
      </c>
      <c r="D18" s="36" t="s">
        <v>119</v>
      </c>
    </row>
    <row r="19" customFormat="false" ht="18" hidden="false" customHeight="true" outlineLevel="0" collapsed="false">
      <c r="A19" s="37" t="s">
        <v>120</v>
      </c>
      <c r="B19" s="29" t="n">
        <v>45689</v>
      </c>
      <c r="C19" s="35" t="s">
        <v>118</v>
      </c>
      <c r="D19" s="36" t="s">
        <v>121</v>
      </c>
    </row>
    <row r="20" customFormat="false" ht="18" hidden="false" customHeight="true" outlineLevel="0" collapsed="false">
      <c r="A20" s="33" t="s">
        <v>122</v>
      </c>
      <c r="B20" s="29" t="n">
        <v>46081</v>
      </c>
      <c r="C20" s="35" t="s">
        <v>118</v>
      </c>
      <c r="D20" s="36" t="s">
        <v>123</v>
      </c>
    </row>
    <row r="21" customFormat="false" ht="18" hidden="false" customHeight="true" outlineLevel="0" collapsed="false">
      <c r="A21" s="37" t="s">
        <v>124</v>
      </c>
      <c r="B21" s="31" t="s">
        <v>125</v>
      </c>
      <c r="C21" s="35"/>
      <c r="D21" s="36" t="s">
        <v>126</v>
      </c>
    </row>
    <row r="22" customFormat="false" ht="18" hidden="false" customHeight="true" outlineLevel="0" collapsed="false">
      <c r="A22" s="33" t="s">
        <v>127</v>
      </c>
      <c r="B22" s="31" t="s">
        <v>128</v>
      </c>
      <c r="C22" s="35"/>
      <c r="D22" s="36" t="s">
        <v>129</v>
      </c>
    </row>
    <row r="23" customFormat="false" ht="4.5" hidden="false" customHeight="true" outlineLevel="0" collapsed="false"/>
    <row r="24" customFormat="false" ht="19.5" hidden="false" customHeight="true" outlineLevel="0" collapsed="false">
      <c r="A24" s="32" t="s">
        <v>130</v>
      </c>
      <c r="B24" s="32"/>
      <c r="C24" s="32"/>
      <c r="D24" s="32"/>
    </row>
    <row r="25" customFormat="false" ht="16.5" hidden="false" customHeight="true" outlineLevel="0" collapsed="false">
      <c r="A25" s="37" t="s">
        <v>131</v>
      </c>
      <c r="B25" s="31" t="s">
        <v>132</v>
      </c>
      <c r="C25" s="35" t="s">
        <v>133</v>
      </c>
      <c r="D25" s="36" t="s">
        <v>134</v>
      </c>
    </row>
    <row r="26" customFormat="false" ht="16.5" hidden="false" customHeight="true" outlineLevel="0" collapsed="false">
      <c r="A26" s="33" t="s">
        <v>135</v>
      </c>
      <c r="B26" s="31" t="s">
        <v>136</v>
      </c>
      <c r="C26" s="35" t="s">
        <v>133</v>
      </c>
      <c r="D26" s="36" t="s">
        <v>134</v>
      </c>
    </row>
    <row r="27" customFormat="false" ht="16.5" hidden="false" customHeight="true" outlineLevel="0" collapsed="false">
      <c r="A27" s="37" t="s">
        <v>137</v>
      </c>
      <c r="B27" s="31" t="s">
        <v>138</v>
      </c>
      <c r="C27" s="35" t="s">
        <v>133</v>
      </c>
      <c r="D27" s="36" t="s">
        <v>134</v>
      </c>
    </row>
    <row r="28" customFormat="false" ht="16.5" hidden="false" customHeight="true" outlineLevel="0" collapsed="false">
      <c r="A28" s="33" t="s">
        <v>139</v>
      </c>
      <c r="B28" s="31" t="s">
        <v>140</v>
      </c>
      <c r="C28" s="35" t="s">
        <v>133</v>
      </c>
      <c r="D28" s="36" t="s">
        <v>134</v>
      </c>
    </row>
    <row r="29" customFormat="false" ht="16.5" hidden="false" customHeight="true" outlineLevel="0" collapsed="false">
      <c r="A29" s="37" t="s">
        <v>141</v>
      </c>
      <c r="B29" s="31" t="s">
        <v>142</v>
      </c>
      <c r="C29" s="35" t="s">
        <v>133</v>
      </c>
      <c r="D29" s="36" t="s">
        <v>134</v>
      </c>
    </row>
    <row r="30" customFormat="false" ht="16.5" hidden="false" customHeight="true" outlineLevel="0" collapsed="false">
      <c r="A30" s="33" t="s">
        <v>143</v>
      </c>
      <c r="B30" s="31"/>
      <c r="C30" s="35" t="s">
        <v>133</v>
      </c>
      <c r="D30" s="36" t="s">
        <v>134</v>
      </c>
    </row>
    <row r="31" customFormat="false" ht="16.5" hidden="false" customHeight="true" outlineLevel="0" collapsed="false">
      <c r="A31" s="37" t="s">
        <v>144</v>
      </c>
      <c r="B31" s="31"/>
      <c r="C31" s="35" t="s">
        <v>133</v>
      </c>
      <c r="D31" s="36" t="s">
        <v>134</v>
      </c>
    </row>
    <row r="32" customFormat="false" ht="16.5" hidden="false" customHeight="true" outlineLevel="0" collapsed="false">
      <c r="A32" s="33" t="s">
        <v>145</v>
      </c>
      <c r="B32" s="31"/>
      <c r="C32" s="35" t="s">
        <v>133</v>
      </c>
      <c r="D32" s="36" t="s">
        <v>134</v>
      </c>
    </row>
    <row r="33" customFormat="false" ht="4.5" hidden="false" customHeight="true" outlineLevel="0" collapsed="false"/>
    <row r="34" customFormat="false" ht="19.5" hidden="false" customHeight="true" outlineLevel="0" collapsed="false">
      <c r="A34" s="32" t="s">
        <v>146</v>
      </c>
      <c r="B34" s="32"/>
      <c r="C34" s="32"/>
      <c r="D34" s="32"/>
    </row>
    <row r="35" customFormat="false" ht="18" hidden="false" customHeight="true" outlineLevel="0" collapsed="false">
      <c r="A35" s="33" t="s">
        <v>147</v>
      </c>
      <c r="B35" s="40" t="n">
        <f aca="false">IFERROR(COUNTIF(M129:M178,"Pending"),0)</f>
        <v>2</v>
      </c>
      <c r="C35" s="35" t="s">
        <v>106</v>
      </c>
      <c r="D35" s="36" t="s">
        <v>148</v>
      </c>
    </row>
    <row r="36" customFormat="false" ht="18" hidden="false" customHeight="true" outlineLevel="0" collapsed="false">
      <c r="A36" s="37" t="s">
        <v>149</v>
      </c>
      <c r="B36" s="40" t="n">
        <f aca="false">IFERROR(COUNTIF(M129:M178,"Confirmed"),0)</f>
        <v>2</v>
      </c>
      <c r="C36" s="35" t="s">
        <v>106</v>
      </c>
      <c r="D36" s="36" t="s">
        <v>148</v>
      </c>
    </row>
    <row r="37" customFormat="false" ht="18" hidden="false" customHeight="true" outlineLevel="0" collapsed="false">
      <c r="A37" s="33" t="s">
        <v>150</v>
      </c>
      <c r="B37" s="40" t="n">
        <f aca="false">IFERROR(COUNTIF(M129:M178,"In Production"),0)</f>
        <v>0</v>
      </c>
      <c r="C37" s="35" t="s">
        <v>106</v>
      </c>
      <c r="D37" s="36" t="s">
        <v>148</v>
      </c>
    </row>
    <row r="38" customFormat="false" ht="18" hidden="false" customHeight="true" outlineLevel="0" collapsed="false">
      <c r="A38" s="37" t="s">
        <v>151</v>
      </c>
      <c r="B38" s="40" t="n">
        <f aca="false">IFERROR(COUNTIF(M129:M178,"Shipped"),0)</f>
        <v>2</v>
      </c>
      <c r="C38" s="35" t="s">
        <v>106</v>
      </c>
      <c r="D38" s="36" t="s">
        <v>148</v>
      </c>
    </row>
    <row r="39" customFormat="false" ht="18" hidden="false" customHeight="true" outlineLevel="0" collapsed="false">
      <c r="A39" s="33" t="s">
        <v>152</v>
      </c>
      <c r="B39" s="40" t="n">
        <f aca="false">IFERROR(COUNTIF(M129:M178,"Delivered"),0)</f>
        <v>6</v>
      </c>
      <c r="C39" s="35" t="s">
        <v>106</v>
      </c>
      <c r="D39" s="36" t="s">
        <v>148</v>
      </c>
    </row>
    <row r="40" customFormat="false" ht="18" hidden="false" customHeight="true" outlineLevel="0" collapsed="false">
      <c r="A40" s="37" t="s">
        <v>153</v>
      </c>
      <c r="B40" s="40" t="n">
        <f aca="false">IFERROR(SUM(B35:B39),0)</f>
        <v>12</v>
      </c>
      <c r="C40" s="35" t="s">
        <v>106</v>
      </c>
      <c r="D40" s="36" t="s">
        <v>154</v>
      </c>
    </row>
    <row r="41" customFormat="false" ht="18" hidden="false" customHeight="true" outlineLevel="0" collapsed="false">
      <c r="A41" s="33" t="s">
        <v>155</v>
      </c>
      <c r="B41" s="43" t="n">
        <v>0.82</v>
      </c>
      <c r="C41" s="35" t="s">
        <v>103</v>
      </c>
      <c r="D41" s="36" t="s">
        <v>156</v>
      </c>
    </row>
    <row r="42" customFormat="false" ht="4.5" hidden="false" customHeight="true" outlineLevel="0" collapsed="false"/>
    <row r="43" customFormat="false" ht="19.5" hidden="false" customHeight="true" outlineLevel="0" collapsed="false">
      <c r="A43" s="32" t="s">
        <v>157</v>
      </c>
      <c r="B43" s="32"/>
      <c r="C43" s="32"/>
      <c r="D43" s="32"/>
    </row>
    <row r="44" customFormat="false" ht="18" hidden="false" customHeight="true" outlineLevel="0" collapsed="false">
      <c r="A44" s="33" t="s">
        <v>158</v>
      </c>
      <c r="B44" s="42" t="n">
        <v>620</v>
      </c>
      <c r="C44" s="35" t="s">
        <v>159</v>
      </c>
      <c r="D44" s="36" t="s">
        <v>160</v>
      </c>
    </row>
    <row r="45" customFormat="false" ht="18" hidden="false" customHeight="true" outlineLevel="0" collapsed="false">
      <c r="A45" s="37" t="s">
        <v>161</v>
      </c>
      <c r="B45" s="42" t="n">
        <v>180</v>
      </c>
      <c r="C45" s="35" t="s">
        <v>159</v>
      </c>
      <c r="D45" s="36" t="s">
        <v>162</v>
      </c>
    </row>
    <row r="46" customFormat="false" ht="18" hidden="false" customHeight="true" outlineLevel="0" collapsed="false">
      <c r="A46" s="33" t="s">
        <v>163</v>
      </c>
      <c r="B46" s="40" t="n">
        <f aca="false">IFERROR(B44+B45,"")</f>
        <v>800</v>
      </c>
      <c r="C46" s="35" t="s">
        <v>159</v>
      </c>
      <c r="D46" s="36" t="s">
        <v>104</v>
      </c>
    </row>
    <row r="47" customFormat="false" ht="18" hidden="false" customHeight="true" outlineLevel="0" collapsed="false">
      <c r="A47" s="37" t="s">
        <v>164</v>
      </c>
      <c r="B47" s="42" t="n">
        <v>1400</v>
      </c>
      <c r="C47" s="35" t="s">
        <v>159</v>
      </c>
      <c r="D47" s="36" t="s">
        <v>165</v>
      </c>
    </row>
    <row r="48" customFormat="false" ht="18" hidden="false" customHeight="true" outlineLevel="0" collapsed="false">
      <c r="A48" s="33" t="s">
        <v>166</v>
      </c>
      <c r="B48" s="41" t="n">
        <f aca="false">IFERROR((B44+B45)/B47,"")</f>
        <v>0.571428571428571</v>
      </c>
      <c r="C48" s="35" t="s">
        <v>103</v>
      </c>
      <c r="D48" s="36" t="s">
        <v>104</v>
      </c>
    </row>
    <row r="49" customFormat="false" ht="18" hidden="false" customHeight="true" outlineLevel="0" collapsed="false">
      <c r="A49" s="37" t="s">
        <v>167</v>
      </c>
      <c r="B49" s="31" t="s">
        <v>168</v>
      </c>
      <c r="C49" s="35" t="s">
        <v>169</v>
      </c>
      <c r="D49" s="36" t="s">
        <v>170</v>
      </c>
    </row>
    <row r="50" customFormat="false" ht="18" hidden="false" customHeight="true" outlineLevel="0" collapsed="false">
      <c r="A50" s="33" t="s">
        <v>171</v>
      </c>
      <c r="B50" s="31" t="s">
        <v>172</v>
      </c>
      <c r="C50" s="35" t="s">
        <v>169</v>
      </c>
      <c r="D50" s="36" t="s">
        <v>173</v>
      </c>
    </row>
    <row r="51" customFormat="false" ht="18" hidden="false" customHeight="true" outlineLevel="0" collapsed="false">
      <c r="A51" s="37" t="s">
        <v>174</v>
      </c>
      <c r="B51" s="31" t="s">
        <v>175</v>
      </c>
      <c r="C51" s="35" t="s">
        <v>169</v>
      </c>
      <c r="D51" s="36"/>
    </row>
    <row r="52" customFormat="false" ht="18" hidden="false" customHeight="true" outlineLevel="0" collapsed="false">
      <c r="A52" s="33" t="s">
        <v>176</v>
      </c>
      <c r="B52" s="31"/>
      <c r="C52" s="35" t="s">
        <v>169</v>
      </c>
      <c r="D52" s="36"/>
    </row>
    <row r="53" customFormat="false" ht="4.5" hidden="false" customHeight="true" outlineLevel="0" collapsed="false"/>
    <row r="54" customFormat="false" ht="19.5" hidden="false" customHeight="true" outlineLevel="0" collapsed="false">
      <c r="A54" s="32" t="s">
        <v>177</v>
      </c>
      <c r="B54" s="32"/>
      <c r="C54" s="32"/>
      <c r="D54" s="32"/>
    </row>
    <row r="55" customFormat="false" ht="18" hidden="false" customHeight="true" outlineLevel="0" collapsed="false">
      <c r="A55" s="33" t="s">
        <v>178</v>
      </c>
      <c r="B55" s="42" t="n">
        <v>12</v>
      </c>
      <c r="C55" s="35" t="s">
        <v>106</v>
      </c>
      <c r="D55" s="36" t="s">
        <v>179</v>
      </c>
    </row>
    <row r="56" customFormat="false" ht="18" hidden="false" customHeight="true" outlineLevel="0" collapsed="false">
      <c r="A56" s="37" t="s">
        <v>180</v>
      </c>
      <c r="B56" s="42" t="n">
        <v>7</v>
      </c>
      <c r="C56" s="35" t="s">
        <v>106</v>
      </c>
      <c r="D56" s="36" t="s">
        <v>181</v>
      </c>
    </row>
    <row r="57" customFormat="false" ht="18" hidden="false" customHeight="true" outlineLevel="0" collapsed="false">
      <c r="A57" s="33" t="s">
        <v>182</v>
      </c>
      <c r="B57" s="42" t="n">
        <v>6</v>
      </c>
      <c r="C57" s="35" t="s">
        <v>106</v>
      </c>
      <c r="D57" s="36" t="s">
        <v>183</v>
      </c>
    </row>
    <row r="58" customFormat="false" ht="18" hidden="false" customHeight="true" outlineLevel="0" collapsed="false">
      <c r="A58" s="37" t="s">
        <v>184</v>
      </c>
      <c r="B58" s="42" t="n">
        <v>5</v>
      </c>
      <c r="C58" s="35" t="s">
        <v>106</v>
      </c>
      <c r="D58" s="36" t="s">
        <v>185</v>
      </c>
    </row>
    <row r="59" customFormat="false" ht="18" hidden="false" customHeight="true" outlineLevel="0" collapsed="false">
      <c r="A59" s="33" t="s">
        <v>186</v>
      </c>
      <c r="B59" s="41" t="n">
        <f aca="false">IFERROR(B56/B55,"")</f>
        <v>0.583333333333333</v>
      </c>
      <c r="C59" s="35" t="s">
        <v>103</v>
      </c>
      <c r="D59" s="36" t="s">
        <v>104</v>
      </c>
    </row>
    <row r="60" customFormat="false" ht="18" hidden="false" customHeight="true" outlineLevel="0" collapsed="false">
      <c r="A60" s="37" t="s">
        <v>187</v>
      </c>
      <c r="B60" s="41" t="n">
        <f aca="false">IFERROR(B57/B55,"")</f>
        <v>0.5</v>
      </c>
      <c r="C60" s="35" t="s">
        <v>103</v>
      </c>
      <c r="D60" s="36" t="s">
        <v>104</v>
      </c>
    </row>
    <row r="61" customFormat="false" ht="18" hidden="false" customHeight="true" outlineLevel="0" collapsed="false">
      <c r="A61" s="33" t="s">
        <v>188</v>
      </c>
      <c r="B61" s="41" t="n">
        <f aca="false">IFERROR(B58/B55,"")</f>
        <v>0.416666666666667</v>
      </c>
      <c r="C61" s="35" t="s">
        <v>103</v>
      </c>
      <c r="D61" s="36" t="s">
        <v>104</v>
      </c>
    </row>
    <row r="62" customFormat="false" ht="18" hidden="false" customHeight="true" outlineLevel="0" collapsed="false">
      <c r="A62" s="37" t="s">
        <v>189</v>
      </c>
      <c r="B62" s="31" t="s">
        <v>190</v>
      </c>
      <c r="C62" s="35"/>
      <c r="D62" s="36" t="s">
        <v>191</v>
      </c>
    </row>
    <row r="63" customFormat="false" ht="18" hidden="false" customHeight="true" outlineLevel="0" collapsed="false">
      <c r="A63" s="33" t="s">
        <v>192</v>
      </c>
      <c r="B63" s="31" t="s">
        <v>193</v>
      </c>
      <c r="C63" s="35"/>
      <c r="D63" s="36"/>
    </row>
    <row r="64" customFormat="false" ht="18" hidden="false" customHeight="true" outlineLevel="0" collapsed="false">
      <c r="A64" s="37" t="s">
        <v>194</v>
      </c>
      <c r="B64" s="31" t="s">
        <v>195</v>
      </c>
      <c r="C64" s="35"/>
      <c r="D64" s="36"/>
    </row>
    <row r="65" customFormat="false" ht="18" hidden="false" customHeight="true" outlineLevel="0" collapsed="false">
      <c r="A65" s="33" t="s">
        <v>196</v>
      </c>
      <c r="B65" s="31" t="s">
        <v>197</v>
      </c>
      <c r="C65" s="35"/>
      <c r="D65" s="36"/>
    </row>
    <row r="66" customFormat="false" ht="18" hidden="false" customHeight="true" outlineLevel="0" collapsed="false">
      <c r="A66" s="37" t="s">
        <v>198</v>
      </c>
      <c r="B66" s="31"/>
      <c r="C66" s="35"/>
      <c r="D66" s="36"/>
    </row>
    <row r="67" customFormat="false" ht="4.5" hidden="false" customHeight="true" outlineLevel="0" collapsed="false"/>
    <row r="68" customFormat="false" ht="19.5" hidden="false" customHeight="true" outlineLevel="0" collapsed="false">
      <c r="A68" s="32" t="s">
        <v>199</v>
      </c>
      <c r="B68" s="32"/>
      <c r="C68" s="32"/>
      <c r="D68" s="32"/>
    </row>
    <row r="69" customFormat="false" ht="18" hidden="false" customHeight="true" outlineLevel="0" collapsed="false">
      <c r="A69" s="33" t="s">
        <v>200</v>
      </c>
      <c r="B69" s="43" t="n">
        <v>0.75</v>
      </c>
      <c r="C69" s="35" t="s">
        <v>103</v>
      </c>
      <c r="D69" s="36" t="s">
        <v>201</v>
      </c>
    </row>
    <row r="70" customFormat="false" ht="18" hidden="false" customHeight="true" outlineLevel="0" collapsed="false">
      <c r="A70" s="37" t="s">
        <v>202</v>
      </c>
      <c r="B70" s="31" t="s">
        <v>203</v>
      </c>
      <c r="C70" s="35"/>
      <c r="D70" s="36" t="s">
        <v>204</v>
      </c>
    </row>
    <row r="71" customFormat="false" ht="18" hidden="false" customHeight="true" outlineLevel="0" collapsed="false">
      <c r="A71" s="33" t="s">
        <v>205</v>
      </c>
      <c r="B71" s="31"/>
      <c r="C71" s="35"/>
      <c r="D71" s="36" t="s">
        <v>206</v>
      </c>
    </row>
    <row r="72" customFormat="false" ht="18" hidden="false" customHeight="true" outlineLevel="0" collapsed="false">
      <c r="A72" s="37" t="s">
        <v>207</v>
      </c>
      <c r="B72" s="31"/>
      <c r="C72" s="35"/>
      <c r="D72" s="36" t="s">
        <v>208</v>
      </c>
    </row>
    <row r="73" customFormat="false" ht="4.5" hidden="false" customHeight="true" outlineLevel="0" collapsed="false"/>
    <row r="74" customFormat="false" ht="19.5" hidden="false" customHeight="true" outlineLevel="0" collapsed="false">
      <c r="A74" s="44" t="s">
        <v>209</v>
      </c>
      <c r="B74" s="44"/>
      <c r="C74" s="44"/>
      <c r="D74" s="44"/>
    </row>
    <row r="75" customFormat="false" ht="18" hidden="false" customHeight="true" outlineLevel="0" collapsed="false">
      <c r="A75" s="45" t="s">
        <v>210</v>
      </c>
      <c r="B75" s="45" t="s">
        <v>211</v>
      </c>
      <c r="C75" s="45" t="s">
        <v>212</v>
      </c>
      <c r="D75" s="45" t="s">
        <v>213</v>
      </c>
    </row>
    <row r="76" customFormat="false" ht="30" hidden="false" customHeight="true" outlineLevel="0" collapsed="false">
      <c r="A76" s="46" t="n">
        <v>1</v>
      </c>
      <c r="B76" s="47" t="s">
        <v>214</v>
      </c>
      <c r="C76" s="48" t="s">
        <v>215</v>
      </c>
      <c r="D76" s="48" t="s">
        <v>216</v>
      </c>
    </row>
    <row r="77" customFormat="false" ht="30" hidden="false" customHeight="true" outlineLevel="0" collapsed="false">
      <c r="A77" s="49" t="n">
        <v>2</v>
      </c>
      <c r="B77" s="47" t="s">
        <v>203</v>
      </c>
      <c r="C77" s="48" t="s">
        <v>217</v>
      </c>
      <c r="D77" s="48" t="s">
        <v>218</v>
      </c>
    </row>
    <row r="78" customFormat="false" ht="30" hidden="false" customHeight="true" outlineLevel="0" collapsed="false">
      <c r="A78" s="46" t="n">
        <v>3</v>
      </c>
      <c r="B78" s="47"/>
      <c r="C78" s="48"/>
      <c r="D78" s="48"/>
    </row>
    <row r="79" customFormat="false" ht="30" hidden="false" customHeight="true" outlineLevel="0" collapsed="false">
      <c r="A79" s="49" t="n">
        <v>4</v>
      </c>
      <c r="B79" s="47"/>
      <c r="C79" s="48"/>
      <c r="D79" s="48"/>
    </row>
    <row r="80" customFormat="false" ht="30" hidden="false" customHeight="true" outlineLevel="0" collapsed="false">
      <c r="A80" s="46" t="n">
        <v>5</v>
      </c>
      <c r="B80" s="47"/>
      <c r="C80" s="48"/>
      <c r="D80" s="48"/>
    </row>
    <row r="81" customFormat="false" ht="30" hidden="false" customHeight="true" outlineLevel="0" collapsed="false">
      <c r="A81" s="49" t="n">
        <v>6</v>
      </c>
      <c r="B81" s="47"/>
      <c r="C81" s="48"/>
      <c r="D81" s="48"/>
    </row>
    <row r="82" customFormat="false" ht="30" hidden="false" customHeight="true" outlineLevel="0" collapsed="false">
      <c r="A82" s="46" t="n">
        <v>7</v>
      </c>
      <c r="B82" s="47"/>
      <c r="C82" s="48"/>
      <c r="D82" s="48"/>
    </row>
    <row r="83" customFormat="false" ht="30" hidden="false" customHeight="true" outlineLevel="0" collapsed="false">
      <c r="A83" s="49" t="n">
        <v>8</v>
      </c>
      <c r="B83" s="47"/>
      <c r="C83" s="48"/>
      <c r="D83" s="48"/>
    </row>
    <row r="84" customFormat="false" ht="4.5" hidden="false" customHeight="true" outlineLevel="0" collapsed="false"/>
    <row r="85" customFormat="false" ht="13.5" hidden="false" customHeight="true" outlineLevel="0" collapsed="false">
      <c r="A85" s="26" t="s">
        <v>219</v>
      </c>
      <c r="B85" s="26"/>
      <c r="C85" s="26"/>
      <c r="D85" s="26"/>
    </row>
    <row r="86" customFormat="false" ht="13.5" hidden="false" customHeight="true" outlineLevel="0" collapsed="false">
      <c r="A86" s="50" t="s">
        <v>220</v>
      </c>
      <c r="B86" s="50"/>
      <c r="C86" s="50"/>
      <c r="D86" s="50"/>
    </row>
    <row r="87" customFormat="false" ht="7.5" hidden="false" customHeight="true" outlineLevel="0" collapsed="false"/>
    <row r="88" customFormat="false" ht="7.5" hidden="false" customHeight="true" outlineLevel="0" collapsed="false"/>
    <row r="89" customFormat="false" ht="19.5" hidden="false" customHeight="true" outlineLevel="0" collapsed="false">
      <c r="A89" s="32" t="s">
        <v>221</v>
      </c>
      <c r="B89" s="32"/>
      <c r="C89" s="32"/>
      <c r="D89" s="32"/>
      <c r="E89" s="32"/>
      <c r="F89" s="32"/>
      <c r="G89" s="32"/>
      <c r="H89" s="32"/>
      <c r="I89" s="32"/>
    </row>
    <row r="90" customFormat="false" ht="30" hidden="false" customHeight="true" outlineLevel="0" collapsed="false">
      <c r="A90" s="51" t="s">
        <v>106</v>
      </c>
      <c r="B90" s="51" t="s">
        <v>222</v>
      </c>
      <c r="C90" s="51" t="s">
        <v>223</v>
      </c>
      <c r="D90" s="51" t="s">
        <v>224</v>
      </c>
      <c r="E90" s="51" t="s">
        <v>225</v>
      </c>
      <c r="F90" s="51" t="s">
        <v>226</v>
      </c>
      <c r="G90" s="51" t="s">
        <v>227</v>
      </c>
      <c r="H90" s="51" t="s">
        <v>228</v>
      </c>
      <c r="I90" s="51" t="s">
        <v>229</v>
      </c>
    </row>
    <row r="91" customFormat="false" ht="16.5" hidden="false" customHeight="true" outlineLevel="0" collapsed="false">
      <c r="A91" s="52" t="n">
        <v>1</v>
      </c>
      <c r="B91" s="53" t="s">
        <v>230</v>
      </c>
      <c r="C91" s="53" t="s">
        <v>231</v>
      </c>
      <c r="D91" s="53" t="s">
        <v>232</v>
      </c>
      <c r="E91" s="53" t="s">
        <v>233</v>
      </c>
      <c r="F91" s="54" t="n">
        <v>850000</v>
      </c>
      <c r="G91" s="55" t="n">
        <v>45703</v>
      </c>
      <c r="H91" s="53" t="s">
        <v>234</v>
      </c>
      <c r="I91" s="53"/>
    </row>
    <row r="92" customFormat="false" ht="16.5" hidden="false" customHeight="true" outlineLevel="0" collapsed="false">
      <c r="A92" s="52" t="n">
        <v>2</v>
      </c>
      <c r="B92" s="53" t="s">
        <v>230</v>
      </c>
      <c r="C92" s="53" t="s">
        <v>235</v>
      </c>
      <c r="D92" s="53" t="s">
        <v>236</v>
      </c>
      <c r="E92" s="53" t="s">
        <v>237</v>
      </c>
      <c r="F92" s="54" t="n">
        <v>420000</v>
      </c>
      <c r="G92" s="55" t="n">
        <v>45726</v>
      </c>
      <c r="H92" s="53" t="s">
        <v>234</v>
      </c>
      <c r="I92" s="53"/>
    </row>
    <row r="93" customFormat="false" ht="16.5" hidden="false" customHeight="true" outlineLevel="0" collapsed="false">
      <c r="A93" s="52" t="n">
        <v>3</v>
      </c>
      <c r="B93" s="53" t="s">
        <v>238</v>
      </c>
      <c r="C93" s="53" t="s">
        <v>239</v>
      </c>
      <c r="D93" s="53" t="s">
        <v>240</v>
      </c>
      <c r="E93" s="53" t="s">
        <v>241</v>
      </c>
      <c r="F93" s="54" t="n">
        <v>180000</v>
      </c>
      <c r="G93" s="55" t="n">
        <v>45736</v>
      </c>
      <c r="H93" s="53" t="s">
        <v>234</v>
      </c>
      <c r="I93" s="53"/>
    </row>
    <row r="94" customFormat="false" ht="16.5" hidden="false" customHeight="true" outlineLevel="0" collapsed="false">
      <c r="A94" s="52" t="n">
        <v>4</v>
      </c>
      <c r="B94" s="53" t="s">
        <v>242</v>
      </c>
      <c r="C94" s="53" t="s">
        <v>243</v>
      </c>
      <c r="D94" s="53" t="s">
        <v>244</v>
      </c>
      <c r="E94" s="53" t="s">
        <v>245</v>
      </c>
      <c r="F94" s="54" t="n">
        <v>45000</v>
      </c>
      <c r="G94" s="55" t="n">
        <v>45748</v>
      </c>
      <c r="H94" s="53" t="s">
        <v>234</v>
      </c>
      <c r="I94" s="53"/>
    </row>
    <row r="95" customFormat="false" ht="16.5" hidden="false" customHeight="true" outlineLevel="0" collapsed="false">
      <c r="A95" s="52" t="n">
        <v>5</v>
      </c>
      <c r="B95" s="53" t="s">
        <v>230</v>
      </c>
      <c r="C95" s="53" t="s">
        <v>246</v>
      </c>
      <c r="D95" s="53" t="s">
        <v>247</v>
      </c>
      <c r="E95" s="53" t="s">
        <v>248</v>
      </c>
      <c r="F95" s="54" t="n">
        <v>320000</v>
      </c>
      <c r="G95" s="55" t="n">
        <v>45778</v>
      </c>
      <c r="H95" s="53" t="s">
        <v>249</v>
      </c>
      <c r="I95" s="53"/>
    </row>
    <row r="96" customFormat="false" ht="16.5" hidden="false" customHeight="true" outlineLevel="0" collapsed="false">
      <c r="A96" s="52" t="n">
        <v>6</v>
      </c>
      <c r="B96" s="53" t="s">
        <v>238</v>
      </c>
      <c r="C96" s="53" t="s">
        <v>250</v>
      </c>
      <c r="D96" s="53" t="s">
        <v>251</v>
      </c>
      <c r="E96" s="53" t="s">
        <v>252</v>
      </c>
      <c r="F96" s="54" t="n">
        <v>95000</v>
      </c>
      <c r="G96" s="55" t="n">
        <v>45792</v>
      </c>
      <c r="H96" s="53" t="s">
        <v>249</v>
      </c>
      <c r="I96" s="53"/>
    </row>
    <row r="97" customFormat="false" ht="16.5" hidden="false" customHeight="true" outlineLevel="0" collapsed="false">
      <c r="A97" s="52" t="n">
        <v>7</v>
      </c>
      <c r="B97" s="53" t="s">
        <v>253</v>
      </c>
      <c r="C97" s="53" t="s">
        <v>254</v>
      </c>
      <c r="D97" s="53" t="s">
        <v>255</v>
      </c>
      <c r="E97" s="53" t="s">
        <v>256</v>
      </c>
      <c r="F97" s="54" t="n">
        <v>85000</v>
      </c>
      <c r="G97" s="55" t="n">
        <v>45748</v>
      </c>
      <c r="H97" s="53" t="s">
        <v>234</v>
      </c>
      <c r="I97" s="53"/>
    </row>
    <row r="98" customFormat="false" ht="16.5" hidden="false" customHeight="true" outlineLevel="0" collapsed="false">
      <c r="A98" s="52" t="n">
        <v>8</v>
      </c>
      <c r="B98" s="53" t="s">
        <v>257</v>
      </c>
      <c r="C98" s="53" t="s">
        <v>258</v>
      </c>
      <c r="D98" s="53" t="s">
        <v>255</v>
      </c>
      <c r="E98" s="53" t="s">
        <v>259</v>
      </c>
      <c r="F98" s="54" t="n">
        <v>22000</v>
      </c>
      <c r="G98" s="55" t="n">
        <v>45748</v>
      </c>
      <c r="H98" s="53" t="s">
        <v>234</v>
      </c>
      <c r="I98" s="53"/>
    </row>
    <row r="99" customFormat="false" ht="16.5" hidden="false" customHeight="true" outlineLevel="0" collapsed="false">
      <c r="A99" s="52" t="n">
        <v>9</v>
      </c>
      <c r="B99" s="53"/>
      <c r="C99" s="53"/>
      <c r="D99" s="53"/>
      <c r="E99" s="53"/>
      <c r="F99" s="54"/>
      <c r="G99" s="55"/>
      <c r="H99" s="53"/>
      <c r="I99" s="53"/>
    </row>
    <row r="100" customFormat="false" ht="16.5" hidden="false" customHeight="true" outlineLevel="0" collapsed="false">
      <c r="A100" s="52" t="n">
        <v>10</v>
      </c>
      <c r="B100" s="53"/>
      <c r="C100" s="53"/>
      <c r="D100" s="53"/>
      <c r="E100" s="53"/>
      <c r="F100" s="54"/>
      <c r="G100" s="55"/>
      <c r="H100" s="53"/>
      <c r="I100" s="53"/>
    </row>
    <row r="101" customFormat="false" ht="16.5" hidden="false" customHeight="true" outlineLevel="0" collapsed="false">
      <c r="A101" s="52" t="n">
        <v>11</v>
      </c>
      <c r="B101" s="53"/>
      <c r="C101" s="53"/>
      <c r="D101" s="53"/>
      <c r="E101" s="53"/>
      <c r="F101" s="54"/>
      <c r="G101" s="55"/>
      <c r="H101" s="53"/>
      <c r="I101" s="53"/>
    </row>
    <row r="102" customFormat="false" ht="16.5" hidden="false" customHeight="true" outlineLevel="0" collapsed="false">
      <c r="A102" s="52" t="n">
        <v>12</v>
      </c>
      <c r="B102" s="53"/>
      <c r="C102" s="53"/>
      <c r="D102" s="53"/>
      <c r="E102" s="53"/>
      <c r="F102" s="54"/>
      <c r="G102" s="55"/>
      <c r="H102" s="53"/>
      <c r="I102" s="53"/>
    </row>
    <row r="103" customFormat="false" ht="16.5" hidden="false" customHeight="true" outlineLevel="0" collapsed="false">
      <c r="A103" s="52" t="n">
        <v>13</v>
      </c>
      <c r="B103" s="53"/>
      <c r="C103" s="53"/>
      <c r="D103" s="53"/>
      <c r="E103" s="53"/>
      <c r="F103" s="54"/>
      <c r="G103" s="55"/>
      <c r="H103" s="53"/>
      <c r="I103" s="53"/>
    </row>
    <row r="104" customFormat="false" ht="16.5" hidden="false" customHeight="true" outlineLevel="0" collapsed="false">
      <c r="A104" s="52" t="n">
        <v>14</v>
      </c>
      <c r="B104" s="53"/>
      <c r="C104" s="53"/>
      <c r="D104" s="53"/>
      <c r="E104" s="53"/>
      <c r="F104" s="54"/>
      <c r="G104" s="55"/>
      <c r="H104" s="53"/>
      <c r="I104" s="53"/>
    </row>
    <row r="105" customFormat="false" ht="16.5" hidden="false" customHeight="true" outlineLevel="0" collapsed="false">
      <c r="A105" s="52" t="n">
        <v>15</v>
      </c>
      <c r="B105" s="53"/>
      <c r="C105" s="53"/>
      <c r="D105" s="53"/>
      <c r="E105" s="53"/>
      <c r="F105" s="54"/>
      <c r="G105" s="55"/>
      <c r="H105" s="53"/>
      <c r="I105" s="53"/>
    </row>
    <row r="106" customFormat="false" ht="16.5" hidden="false" customHeight="true" outlineLevel="0" collapsed="false">
      <c r="A106" s="52" t="n">
        <v>16</v>
      </c>
      <c r="B106" s="53"/>
      <c r="C106" s="53"/>
      <c r="D106" s="53"/>
      <c r="E106" s="53"/>
      <c r="F106" s="54"/>
      <c r="G106" s="55"/>
      <c r="H106" s="53"/>
      <c r="I106" s="53"/>
    </row>
    <row r="107" customFormat="false" ht="16.5" hidden="false" customHeight="true" outlineLevel="0" collapsed="false">
      <c r="A107" s="52" t="n">
        <v>17</v>
      </c>
      <c r="B107" s="53"/>
      <c r="C107" s="53"/>
      <c r="D107" s="53"/>
      <c r="E107" s="53"/>
      <c r="F107" s="54"/>
      <c r="G107" s="55"/>
      <c r="H107" s="53"/>
      <c r="I107" s="53"/>
    </row>
    <row r="108" customFormat="false" ht="16.5" hidden="false" customHeight="true" outlineLevel="0" collapsed="false">
      <c r="A108" s="52" t="n">
        <v>18</v>
      </c>
      <c r="B108" s="53"/>
      <c r="C108" s="53"/>
      <c r="D108" s="53"/>
      <c r="E108" s="53"/>
      <c r="F108" s="54"/>
      <c r="G108" s="55"/>
      <c r="H108" s="53"/>
      <c r="I108" s="53"/>
    </row>
    <row r="109" customFormat="false" ht="16.5" hidden="false" customHeight="true" outlineLevel="0" collapsed="false">
      <c r="A109" s="52" t="n">
        <v>19</v>
      </c>
      <c r="B109" s="53"/>
      <c r="C109" s="53"/>
      <c r="D109" s="53"/>
      <c r="E109" s="53"/>
      <c r="F109" s="54"/>
      <c r="G109" s="55"/>
      <c r="H109" s="53"/>
      <c r="I109" s="53"/>
    </row>
    <row r="110" customFormat="false" ht="16.5" hidden="false" customHeight="true" outlineLevel="0" collapsed="false">
      <c r="A110" s="52" t="n">
        <v>20</v>
      </c>
      <c r="B110" s="53"/>
      <c r="C110" s="53"/>
      <c r="D110" s="53"/>
      <c r="E110" s="53"/>
      <c r="F110" s="54"/>
      <c r="G110" s="55"/>
      <c r="H110" s="53"/>
      <c r="I110" s="53"/>
    </row>
    <row r="111" customFormat="false" ht="16.5" hidden="false" customHeight="true" outlineLevel="0" collapsed="false">
      <c r="A111" s="52" t="n">
        <v>21</v>
      </c>
      <c r="B111" s="53"/>
      <c r="C111" s="53"/>
      <c r="D111" s="53"/>
      <c r="E111" s="53"/>
      <c r="F111" s="54"/>
      <c r="G111" s="55"/>
      <c r="H111" s="53"/>
      <c r="I111" s="53"/>
    </row>
    <row r="112" customFormat="false" ht="16.5" hidden="false" customHeight="true" outlineLevel="0" collapsed="false">
      <c r="A112" s="52" t="n">
        <v>22</v>
      </c>
      <c r="B112" s="53"/>
      <c r="C112" s="53"/>
      <c r="D112" s="53"/>
      <c r="E112" s="53"/>
      <c r="F112" s="54"/>
      <c r="G112" s="55"/>
      <c r="H112" s="53"/>
      <c r="I112" s="53"/>
    </row>
    <row r="113" customFormat="false" ht="16.5" hidden="false" customHeight="true" outlineLevel="0" collapsed="false">
      <c r="A113" s="52" t="n">
        <v>23</v>
      </c>
      <c r="B113" s="53"/>
      <c r="C113" s="53"/>
      <c r="D113" s="53"/>
      <c r="E113" s="53"/>
      <c r="F113" s="54"/>
      <c r="G113" s="55"/>
      <c r="H113" s="53"/>
      <c r="I113" s="53"/>
    </row>
    <row r="114" customFormat="false" ht="16.5" hidden="false" customHeight="true" outlineLevel="0" collapsed="false">
      <c r="A114" s="52" t="n">
        <v>24</v>
      </c>
      <c r="B114" s="53"/>
      <c r="C114" s="53"/>
      <c r="D114" s="53"/>
      <c r="E114" s="53"/>
      <c r="F114" s="54"/>
      <c r="G114" s="55"/>
      <c r="H114" s="53"/>
      <c r="I114" s="53"/>
    </row>
    <row r="115" customFormat="false" ht="16.5" hidden="false" customHeight="true" outlineLevel="0" collapsed="false">
      <c r="A115" s="52" t="n">
        <v>25</v>
      </c>
      <c r="B115" s="53"/>
      <c r="C115" s="53"/>
      <c r="D115" s="53"/>
      <c r="E115" s="53"/>
      <c r="F115" s="54"/>
      <c r="G115" s="55"/>
      <c r="H115" s="53"/>
      <c r="I115" s="53"/>
    </row>
    <row r="116" customFormat="false" ht="16.5" hidden="false" customHeight="true" outlineLevel="0" collapsed="false">
      <c r="A116" s="52" t="n">
        <v>26</v>
      </c>
      <c r="B116" s="53"/>
      <c r="C116" s="53"/>
      <c r="D116" s="53"/>
      <c r="E116" s="53"/>
      <c r="F116" s="54"/>
      <c r="G116" s="55"/>
      <c r="H116" s="53"/>
      <c r="I116" s="53"/>
    </row>
    <row r="117" customFormat="false" ht="16.5" hidden="false" customHeight="true" outlineLevel="0" collapsed="false">
      <c r="A117" s="52" t="n">
        <v>27</v>
      </c>
      <c r="B117" s="53"/>
      <c r="C117" s="53"/>
      <c r="D117" s="53"/>
      <c r="E117" s="53"/>
      <c r="F117" s="54"/>
      <c r="G117" s="55"/>
      <c r="H117" s="53"/>
      <c r="I117" s="53"/>
    </row>
    <row r="118" customFormat="false" ht="16.5" hidden="false" customHeight="true" outlineLevel="0" collapsed="false">
      <c r="A118" s="52" t="n">
        <v>28</v>
      </c>
      <c r="B118" s="53"/>
      <c r="C118" s="53"/>
      <c r="D118" s="53"/>
      <c r="E118" s="53"/>
      <c r="F118" s="54"/>
      <c r="G118" s="55"/>
      <c r="H118" s="53"/>
      <c r="I118" s="53"/>
    </row>
    <row r="119" customFormat="false" ht="16.5" hidden="false" customHeight="true" outlineLevel="0" collapsed="false">
      <c r="A119" s="52" t="n">
        <v>29</v>
      </c>
      <c r="B119" s="53"/>
      <c r="C119" s="53"/>
      <c r="D119" s="53"/>
      <c r="E119" s="53"/>
      <c r="F119" s="54"/>
      <c r="G119" s="55"/>
      <c r="H119" s="53"/>
      <c r="I119" s="53"/>
    </row>
    <row r="120" customFormat="false" ht="16.5" hidden="false" customHeight="true" outlineLevel="0" collapsed="false">
      <c r="A120" s="52" t="n">
        <v>30</v>
      </c>
      <c r="B120" s="53"/>
      <c r="C120" s="53"/>
      <c r="D120" s="53"/>
      <c r="E120" s="53"/>
      <c r="F120" s="54"/>
      <c r="G120" s="55"/>
      <c r="H120" s="53"/>
      <c r="I120" s="53"/>
    </row>
    <row r="121" customFormat="false" ht="16.5" hidden="false" customHeight="true" outlineLevel="0" collapsed="false">
      <c r="A121" s="52" t="n">
        <v>31</v>
      </c>
      <c r="B121" s="53"/>
      <c r="C121" s="53"/>
      <c r="D121" s="53"/>
      <c r="E121" s="53"/>
      <c r="F121" s="54"/>
      <c r="G121" s="55"/>
      <c r="H121" s="53"/>
      <c r="I121" s="53"/>
    </row>
    <row r="122" customFormat="false" ht="16.5" hidden="false" customHeight="true" outlineLevel="0" collapsed="false">
      <c r="A122" s="52" t="n">
        <v>32</v>
      </c>
      <c r="B122" s="53"/>
      <c r="C122" s="53"/>
      <c r="D122" s="53"/>
      <c r="E122" s="53"/>
      <c r="F122" s="54"/>
      <c r="G122" s="55"/>
      <c r="H122" s="53"/>
      <c r="I122" s="53"/>
    </row>
    <row r="123" customFormat="false" ht="16.5" hidden="false" customHeight="true" outlineLevel="0" collapsed="false">
      <c r="A123" s="52" t="n">
        <v>33</v>
      </c>
      <c r="B123" s="53"/>
      <c r="C123" s="53"/>
      <c r="D123" s="53"/>
      <c r="E123" s="53"/>
      <c r="F123" s="54"/>
      <c r="G123" s="55"/>
      <c r="H123" s="53"/>
      <c r="I123" s="53"/>
    </row>
    <row r="124" customFormat="false" ht="16.5" hidden="false" customHeight="true" outlineLevel="0" collapsed="false">
      <c r="A124" s="52" t="n">
        <v>34</v>
      </c>
      <c r="B124" s="53"/>
      <c r="C124" s="53"/>
      <c r="D124" s="53"/>
      <c r="E124" s="53"/>
      <c r="F124" s="54"/>
      <c r="G124" s="55"/>
      <c r="H124" s="53"/>
      <c r="I124" s="53"/>
    </row>
    <row r="125" customFormat="false" ht="16.5" hidden="false" customHeight="true" outlineLevel="0" collapsed="false">
      <c r="A125" s="52" t="n">
        <v>35</v>
      </c>
      <c r="B125" s="53"/>
      <c r="C125" s="53"/>
      <c r="D125" s="53"/>
      <c r="E125" s="53"/>
      <c r="F125" s="54"/>
      <c r="G125" s="55"/>
      <c r="H125" s="53"/>
      <c r="I125" s="53"/>
    </row>
    <row r="126" customFormat="false" ht="15" hidden="false" customHeight="true" outlineLevel="0" collapsed="false">
      <c r="A126" s="56" t="s">
        <v>260</v>
      </c>
      <c r="B126" s="56"/>
      <c r="C126" s="56"/>
      <c r="D126" s="56"/>
      <c r="E126" s="56"/>
      <c r="F126" s="57" t="n">
        <f aca="false">IFERROR(SUM(F91:F125),0)</f>
        <v>2017000</v>
      </c>
    </row>
    <row r="127" customFormat="false" ht="19.5" hidden="false" customHeight="true" outlineLevel="0" collapsed="false">
      <c r="A127" s="32" t="s">
        <v>261</v>
      </c>
      <c r="B127" s="32"/>
      <c r="C127" s="32"/>
      <c r="D127" s="32"/>
      <c r="E127" s="32"/>
      <c r="F127" s="58"/>
      <c r="G127" s="58"/>
      <c r="H127" s="58"/>
      <c r="I127" s="58"/>
      <c r="J127" s="58"/>
      <c r="K127" s="58"/>
      <c r="L127" s="58"/>
      <c r="M127" s="58"/>
      <c r="N127" s="58"/>
    </row>
    <row r="128" customFormat="false" ht="31.5" hidden="false" customHeight="true" outlineLevel="0" collapsed="false">
      <c r="A128" s="51" t="s">
        <v>106</v>
      </c>
      <c r="B128" s="51" t="s">
        <v>262</v>
      </c>
      <c r="C128" s="51" t="s">
        <v>263</v>
      </c>
      <c r="D128" s="51" t="s">
        <v>264</v>
      </c>
      <c r="E128" s="51" t="s">
        <v>265</v>
      </c>
      <c r="F128" s="51" t="s">
        <v>266</v>
      </c>
      <c r="G128" s="51" t="s">
        <v>267</v>
      </c>
      <c r="H128" s="51" t="s">
        <v>268</v>
      </c>
      <c r="I128" s="51" t="s">
        <v>269</v>
      </c>
      <c r="J128" s="51" t="s">
        <v>270</v>
      </c>
      <c r="K128" s="51" t="s">
        <v>271</v>
      </c>
      <c r="L128" s="51" t="s">
        <v>272</v>
      </c>
      <c r="M128" s="51" t="s">
        <v>61</v>
      </c>
      <c r="N128" s="51" t="s">
        <v>273</v>
      </c>
    </row>
    <row r="129" customFormat="false" ht="16.5" hidden="false" customHeight="true" outlineLevel="0" collapsed="false">
      <c r="A129" s="52" t="n">
        <v>1</v>
      </c>
      <c r="B129" s="53" t="s">
        <v>274</v>
      </c>
      <c r="C129" s="53" t="s">
        <v>132</v>
      </c>
      <c r="D129" s="53" t="s">
        <v>159</v>
      </c>
      <c r="E129" s="59" t="n">
        <v>500</v>
      </c>
      <c r="F129" s="59" t="n">
        <v>500</v>
      </c>
      <c r="G129" s="60" t="n">
        <v>420</v>
      </c>
      <c r="H129" s="57" t="n">
        <f aca="false">IFERROR(E129*G129,"")</f>
        <v>210000</v>
      </c>
      <c r="I129" s="53" t="s">
        <v>232</v>
      </c>
      <c r="J129" s="55" t="n">
        <v>45667</v>
      </c>
      <c r="K129" s="55" t="n">
        <v>45717</v>
      </c>
      <c r="L129" s="55" t="n">
        <v>45721</v>
      </c>
      <c r="M129" s="53" t="s">
        <v>275</v>
      </c>
      <c r="N129" s="53"/>
    </row>
    <row r="130" customFormat="false" ht="16.5" hidden="false" customHeight="true" outlineLevel="0" collapsed="false">
      <c r="A130" s="52" t="n">
        <v>2</v>
      </c>
      <c r="B130" s="53" t="s">
        <v>276</v>
      </c>
      <c r="C130" s="53" t="s">
        <v>136</v>
      </c>
      <c r="D130" s="53" t="s">
        <v>159</v>
      </c>
      <c r="E130" s="59" t="n">
        <v>120</v>
      </c>
      <c r="F130" s="59" t="n">
        <v>120</v>
      </c>
      <c r="G130" s="60" t="n">
        <v>680</v>
      </c>
      <c r="H130" s="57" t="n">
        <f aca="false">IFERROR(E130*G130,"")</f>
        <v>81600</v>
      </c>
      <c r="I130" s="53" t="s">
        <v>236</v>
      </c>
      <c r="J130" s="55" t="n">
        <v>45672</v>
      </c>
      <c r="K130" s="55" t="n">
        <v>45731</v>
      </c>
      <c r="L130" s="55" t="n">
        <v>45734</v>
      </c>
      <c r="M130" s="53" t="s">
        <v>275</v>
      </c>
      <c r="N130" s="53"/>
    </row>
    <row r="131" customFormat="false" ht="16.5" hidden="false" customHeight="true" outlineLevel="0" collapsed="false">
      <c r="A131" s="52" t="n">
        <v>3</v>
      </c>
      <c r="B131" s="53" t="s">
        <v>277</v>
      </c>
      <c r="C131" s="53" t="s">
        <v>138</v>
      </c>
      <c r="D131" s="53" t="s">
        <v>278</v>
      </c>
      <c r="E131" s="59" t="n">
        <v>15000</v>
      </c>
      <c r="F131" s="59" t="n">
        <v>15000</v>
      </c>
      <c r="G131" s="60" t="n">
        <v>1.2</v>
      </c>
      <c r="H131" s="57" t="n">
        <f aca="false">IFERROR(E131*G131,"")</f>
        <v>18000</v>
      </c>
      <c r="I131" s="53" t="s">
        <v>236</v>
      </c>
      <c r="J131" s="55" t="n">
        <v>45689</v>
      </c>
      <c r="K131" s="55" t="n">
        <v>45748</v>
      </c>
      <c r="L131" s="55" t="n">
        <v>45750</v>
      </c>
      <c r="M131" s="53" t="s">
        <v>275</v>
      </c>
      <c r="N131" s="53"/>
    </row>
    <row r="132" customFormat="false" ht="16.5" hidden="false" customHeight="true" outlineLevel="0" collapsed="false">
      <c r="A132" s="52" t="n">
        <v>4</v>
      </c>
      <c r="B132" s="53" t="s">
        <v>279</v>
      </c>
      <c r="C132" s="53" t="s">
        <v>142</v>
      </c>
      <c r="D132" s="53" t="s">
        <v>159</v>
      </c>
      <c r="E132" s="59" t="n">
        <v>80</v>
      </c>
      <c r="F132" s="59" t="n">
        <v>80</v>
      </c>
      <c r="G132" s="60" t="n">
        <v>850</v>
      </c>
      <c r="H132" s="57" t="n">
        <f aca="false">IFERROR(E132*G132,"")</f>
        <v>68000</v>
      </c>
      <c r="I132" s="53" t="s">
        <v>247</v>
      </c>
      <c r="J132" s="55" t="n">
        <v>45698</v>
      </c>
      <c r="K132" s="55" t="n">
        <v>45762</v>
      </c>
      <c r="L132" s="55" t="n">
        <v>45765</v>
      </c>
      <c r="M132" s="53" t="s">
        <v>275</v>
      </c>
      <c r="N132" s="53"/>
    </row>
    <row r="133" customFormat="false" ht="16.5" hidden="false" customHeight="true" outlineLevel="0" collapsed="false">
      <c r="A133" s="52" t="n">
        <v>5</v>
      </c>
      <c r="B133" s="53" t="s">
        <v>280</v>
      </c>
      <c r="C133" s="53" t="s">
        <v>140</v>
      </c>
      <c r="D133" s="53" t="s">
        <v>159</v>
      </c>
      <c r="E133" s="59" t="n">
        <v>30</v>
      </c>
      <c r="F133" s="59" t="n">
        <v>30</v>
      </c>
      <c r="G133" s="60" t="n">
        <v>220</v>
      </c>
      <c r="H133" s="57" t="n">
        <f aca="false">IFERROR(E133*G133,"")</f>
        <v>6600</v>
      </c>
      <c r="I133" s="53" t="s">
        <v>232</v>
      </c>
      <c r="J133" s="55" t="n">
        <v>45717</v>
      </c>
      <c r="K133" s="55" t="n">
        <v>45778</v>
      </c>
      <c r="L133" s="55" t="n">
        <v>45779</v>
      </c>
      <c r="M133" s="53" t="s">
        <v>275</v>
      </c>
      <c r="N133" s="53"/>
    </row>
    <row r="134" customFormat="false" ht="16.5" hidden="false" customHeight="true" outlineLevel="0" collapsed="false">
      <c r="A134" s="52" t="n">
        <v>6</v>
      </c>
      <c r="B134" s="53" t="s">
        <v>281</v>
      </c>
      <c r="C134" s="53" t="s">
        <v>282</v>
      </c>
      <c r="D134" s="53" t="s">
        <v>159</v>
      </c>
      <c r="E134" s="59" t="n">
        <v>450</v>
      </c>
      <c r="F134" s="59" t="n">
        <v>420</v>
      </c>
      <c r="G134" s="60" t="n">
        <v>425</v>
      </c>
      <c r="H134" s="57" t="n">
        <f aca="false">IFERROR(E134*G134,"")</f>
        <v>191250</v>
      </c>
      <c r="I134" s="53" t="s">
        <v>232</v>
      </c>
      <c r="J134" s="55" t="n">
        <v>45748</v>
      </c>
      <c r="K134" s="55" t="n">
        <v>45809</v>
      </c>
      <c r="L134" s="55" t="n">
        <v>45813</v>
      </c>
      <c r="M134" s="53" t="s">
        <v>275</v>
      </c>
      <c r="N134" s="53"/>
    </row>
    <row r="135" customFormat="false" ht="16.5" hidden="false" customHeight="true" outlineLevel="0" collapsed="false">
      <c r="A135" s="52" t="n">
        <v>7</v>
      </c>
      <c r="B135" s="53" t="s">
        <v>283</v>
      </c>
      <c r="C135" s="53" t="s">
        <v>284</v>
      </c>
      <c r="D135" s="53" t="s">
        <v>159</v>
      </c>
      <c r="E135" s="59" t="n">
        <v>110</v>
      </c>
      <c r="F135" s="59" t="n">
        <v>0</v>
      </c>
      <c r="G135" s="60" t="n">
        <v>690</v>
      </c>
      <c r="H135" s="57" t="n">
        <f aca="false">IFERROR(E135*G135,"")</f>
        <v>75900</v>
      </c>
      <c r="I135" s="53" t="s">
        <v>236</v>
      </c>
      <c r="J135" s="55" t="n">
        <v>45778</v>
      </c>
      <c r="K135" s="55" t="n">
        <v>45839</v>
      </c>
      <c r="L135" s="55"/>
      <c r="M135" s="53" t="s">
        <v>285</v>
      </c>
      <c r="N135" s="53"/>
    </row>
    <row r="136" customFormat="false" ht="16.5" hidden="false" customHeight="true" outlineLevel="0" collapsed="false">
      <c r="A136" s="52" t="n">
        <v>8</v>
      </c>
      <c r="B136" s="53" t="s">
        <v>286</v>
      </c>
      <c r="C136" s="53" t="s">
        <v>287</v>
      </c>
      <c r="D136" s="53" t="s">
        <v>278</v>
      </c>
      <c r="E136" s="59" t="n">
        <v>14000</v>
      </c>
      <c r="F136" s="59" t="n">
        <v>0</v>
      </c>
      <c r="G136" s="60" t="n">
        <v>1.25</v>
      </c>
      <c r="H136" s="57" t="n">
        <f aca="false">IFERROR(E136*G136,"")</f>
        <v>17500</v>
      </c>
      <c r="I136" s="53" t="s">
        <v>236</v>
      </c>
      <c r="J136" s="55" t="n">
        <v>45792</v>
      </c>
      <c r="K136" s="55" t="n">
        <v>45853</v>
      </c>
      <c r="L136" s="55"/>
      <c r="M136" s="53" t="s">
        <v>285</v>
      </c>
      <c r="N136" s="53"/>
    </row>
    <row r="137" customFormat="false" ht="16.5" hidden="false" customHeight="true" outlineLevel="0" collapsed="false">
      <c r="A137" s="52" t="n">
        <v>9</v>
      </c>
      <c r="B137" s="53" t="s">
        <v>288</v>
      </c>
      <c r="C137" s="53" t="s">
        <v>289</v>
      </c>
      <c r="D137" s="53" t="s">
        <v>159</v>
      </c>
      <c r="E137" s="59" t="n">
        <v>75</v>
      </c>
      <c r="F137" s="59" t="n">
        <v>0</v>
      </c>
      <c r="G137" s="60" t="n">
        <v>860</v>
      </c>
      <c r="H137" s="57" t="n">
        <f aca="false">IFERROR(E137*G137,"")</f>
        <v>64500</v>
      </c>
      <c r="I137" s="53" t="s">
        <v>247</v>
      </c>
      <c r="J137" s="55" t="n">
        <v>45809</v>
      </c>
      <c r="K137" s="55" t="n">
        <v>45870</v>
      </c>
      <c r="L137" s="55"/>
      <c r="M137" s="53" t="s">
        <v>290</v>
      </c>
      <c r="N137" s="53"/>
    </row>
    <row r="138" customFormat="false" ht="16.5" hidden="false" customHeight="true" outlineLevel="0" collapsed="false">
      <c r="A138" s="52" t="n">
        <v>10</v>
      </c>
      <c r="B138" s="53" t="s">
        <v>291</v>
      </c>
      <c r="C138" s="53" t="s">
        <v>292</v>
      </c>
      <c r="D138" s="53" t="s">
        <v>159</v>
      </c>
      <c r="E138" s="59" t="n">
        <v>480</v>
      </c>
      <c r="F138" s="59" t="n">
        <v>0</v>
      </c>
      <c r="G138" s="60" t="n">
        <v>430</v>
      </c>
      <c r="H138" s="57" t="n">
        <f aca="false">IFERROR(E138*G138,"")</f>
        <v>206400</v>
      </c>
      <c r="I138" s="53" t="s">
        <v>232</v>
      </c>
      <c r="J138" s="55" t="n">
        <v>45839</v>
      </c>
      <c r="K138" s="55" t="n">
        <v>45901</v>
      </c>
      <c r="L138" s="55"/>
      <c r="M138" s="53" t="s">
        <v>290</v>
      </c>
      <c r="N138" s="53"/>
    </row>
    <row r="139" customFormat="false" ht="16.5" hidden="false" customHeight="true" outlineLevel="0" collapsed="false">
      <c r="A139" s="52" t="n">
        <v>11</v>
      </c>
      <c r="B139" s="53" t="s">
        <v>293</v>
      </c>
      <c r="C139" s="53" t="s">
        <v>294</v>
      </c>
      <c r="D139" s="53" t="s">
        <v>159</v>
      </c>
      <c r="E139" s="59" t="n">
        <v>115</v>
      </c>
      <c r="F139" s="59" t="n">
        <v>0</v>
      </c>
      <c r="G139" s="60" t="n">
        <v>700</v>
      </c>
      <c r="H139" s="57" t="n">
        <f aca="false">IFERROR(E139*G139,"")</f>
        <v>80500</v>
      </c>
      <c r="I139" s="53" t="s">
        <v>236</v>
      </c>
      <c r="J139" s="55" t="n">
        <v>45870</v>
      </c>
      <c r="K139" s="55" t="n">
        <v>45931</v>
      </c>
      <c r="L139" s="55"/>
      <c r="M139" s="53" t="s">
        <v>295</v>
      </c>
      <c r="N139" s="53"/>
    </row>
    <row r="140" customFormat="false" ht="16.5" hidden="false" customHeight="true" outlineLevel="0" collapsed="false">
      <c r="A140" s="52" t="n">
        <v>12</v>
      </c>
      <c r="B140" s="53" t="s">
        <v>296</v>
      </c>
      <c r="C140" s="53" t="s">
        <v>297</v>
      </c>
      <c r="D140" s="53" t="s">
        <v>159</v>
      </c>
      <c r="E140" s="59" t="n">
        <v>25</v>
      </c>
      <c r="F140" s="59" t="n">
        <v>0</v>
      </c>
      <c r="G140" s="60" t="n">
        <v>225</v>
      </c>
      <c r="H140" s="57" t="n">
        <f aca="false">IFERROR(E140*G140,"")</f>
        <v>5625</v>
      </c>
      <c r="I140" s="53" t="s">
        <v>232</v>
      </c>
      <c r="J140" s="55" t="n">
        <v>45870</v>
      </c>
      <c r="K140" s="55" t="n">
        <v>45931</v>
      </c>
      <c r="L140" s="55"/>
      <c r="M140" s="53" t="s">
        <v>295</v>
      </c>
      <c r="N140" s="53"/>
    </row>
    <row r="141" customFormat="false" ht="16.5" hidden="false" customHeight="true" outlineLevel="0" collapsed="false">
      <c r="A141" s="52" t="n">
        <v>13</v>
      </c>
      <c r="B141" s="53"/>
      <c r="C141" s="53"/>
      <c r="D141" s="53"/>
      <c r="E141" s="59"/>
      <c r="F141" s="59"/>
      <c r="G141" s="60"/>
      <c r="H141" s="57" t="n">
        <f aca="false">IFERROR(E141*G141,"")</f>
        <v>0</v>
      </c>
      <c r="I141" s="53"/>
      <c r="J141" s="55"/>
      <c r="K141" s="55"/>
      <c r="L141" s="55"/>
      <c r="M141" s="53"/>
      <c r="N141" s="53"/>
    </row>
    <row r="142" customFormat="false" ht="16.5" hidden="false" customHeight="true" outlineLevel="0" collapsed="false">
      <c r="A142" s="52" t="n">
        <v>14</v>
      </c>
      <c r="B142" s="53"/>
      <c r="C142" s="53"/>
      <c r="D142" s="53"/>
      <c r="E142" s="59"/>
      <c r="F142" s="59"/>
      <c r="G142" s="60"/>
      <c r="H142" s="57" t="n">
        <f aca="false">IFERROR(E142*G142,"")</f>
        <v>0</v>
      </c>
      <c r="I142" s="53"/>
      <c r="J142" s="55"/>
      <c r="K142" s="55"/>
      <c r="L142" s="55"/>
      <c r="M142" s="53"/>
      <c r="N142" s="53"/>
    </row>
    <row r="143" customFormat="false" ht="16.5" hidden="false" customHeight="true" outlineLevel="0" collapsed="false">
      <c r="A143" s="52" t="n">
        <v>15</v>
      </c>
      <c r="B143" s="53"/>
      <c r="C143" s="53"/>
      <c r="D143" s="53"/>
      <c r="E143" s="59"/>
      <c r="F143" s="59"/>
      <c r="G143" s="60"/>
      <c r="H143" s="57" t="n">
        <f aca="false">IFERROR(E143*G143,"")</f>
        <v>0</v>
      </c>
      <c r="I143" s="53"/>
      <c r="J143" s="55"/>
      <c r="K143" s="55"/>
      <c r="L143" s="55"/>
      <c r="M143" s="53"/>
      <c r="N143" s="53"/>
    </row>
    <row r="144" customFormat="false" ht="16.5" hidden="false" customHeight="true" outlineLevel="0" collapsed="false">
      <c r="A144" s="52" t="n">
        <v>16</v>
      </c>
      <c r="B144" s="53"/>
      <c r="C144" s="53"/>
      <c r="D144" s="53"/>
      <c r="E144" s="59"/>
      <c r="F144" s="59"/>
      <c r="G144" s="60"/>
      <c r="H144" s="57" t="n">
        <f aca="false">IFERROR(E144*G144,"")</f>
        <v>0</v>
      </c>
      <c r="I144" s="53"/>
      <c r="J144" s="55"/>
      <c r="K144" s="55"/>
      <c r="L144" s="55"/>
      <c r="M144" s="53"/>
      <c r="N144" s="53"/>
    </row>
    <row r="145" customFormat="false" ht="16.5" hidden="false" customHeight="true" outlineLevel="0" collapsed="false">
      <c r="A145" s="52" t="n">
        <v>17</v>
      </c>
      <c r="B145" s="53"/>
      <c r="C145" s="53"/>
      <c r="D145" s="53"/>
      <c r="E145" s="59"/>
      <c r="F145" s="59"/>
      <c r="G145" s="60"/>
      <c r="H145" s="57" t="n">
        <f aca="false">IFERROR(E145*G145,"")</f>
        <v>0</v>
      </c>
      <c r="I145" s="53"/>
      <c r="J145" s="55"/>
      <c r="K145" s="55"/>
      <c r="L145" s="55"/>
      <c r="M145" s="53"/>
      <c r="N145" s="53"/>
    </row>
    <row r="146" customFormat="false" ht="16.5" hidden="false" customHeight="true" outlineLevel="0" collapsed="false">
      <c r="A146" s="52" t="n">
        <v>18</v>
      </c>
      <c r="B146" s="53"/>
      <c r="C146" s="53"/>
      <c r="D146" s="53"/>
      <c r="E146" s="59"/>
      <c r="F146" s="59"/>
      <c r="G146" s="60"/>
      <c r="H146" s="57" t="n">
        <f aca="false">IFERROR(E146*G146,"")</f>
        <v>0</v>
      </c>
      <c r="I146" s="53"/>
      <c r="J146" s="55"/>
      <c r="K146" s="55"/>
      <c r="L146" s="55"/>
      <c r="M146" s="53"/>
      <c r="N146" s="53"/>
    </row>
    <row r="147" customFormat="false" ht="16.5" hidden="false" customHeight="true" outlineLevel="0" collapsed="false">
      <c r="A147" s="52" t="n">
        <v>19</v>
      </c>
      <c r="B147" s="53"/>
      <c r="C147" s="53"/>
      <c r="D147" s="53"/>
      <c r="E147" s="59"/>
      <c r="F147" s="59"/>
      <c r="G147" s="60"/>
      <c r="H147" s="57" t="n">
        <f aca="false">IFERROR(E147*G147,"")</f>
        <v>0</v>
      </c>
      <c r="I147" s="53"/>
      <c r="J147" s="55"/>
      <c r="K147" s="55"/>
      <c r="L147" s="55"/>
      <c r="M147" s="53"/>
      <c r="N147" s="53"/>
    </row>
    <row r="148" customFormat="false" ht="16.5" hidden="false" customHeight="true" outlineLevel="0" collapsed="false">
      <c r="A148" s="52" t="n">
        <v>20</v>
      </c>
      <c r="B148" s="53"/>
      <c r="C148" s="53"/>
      <c r="D148" s="53"/>
      <c r="E148" s="59"/>
      <c r="F148" s="59"/>
      <c r="G148" s="60"/>
      <c r="H148" s="57" t="n">
        <f aca="false">IFERROR(E148*G148,"")</f>
        <v>0</v>
      </c>
      <c r="I148" s="53"/>
      <c r="J148" s="55"/>
      <c r="K148" s="55"/>
      <c r="L148" s="55"/>
      <c r="M148" s="53"/>
      <c r="N148" s="53"/>
    </row>
    <row r="149" customFormat="false" ht="16.5" hidden="false" customHeight="true" outlineLevel="0" collapsed="false">
      <c r="A149" s="52" t="n">
        <v>21</v>
      </c>
      <c r="B149" s="53"/>
      <c r="C149" s="53"/>
      <c r="D149" s="53"/>
      <c r="E149" s="59"/>
      <c r="F149" s="59"/>
      <c r="G149" s="60"/>
      <c r="H149" s="57" t="n">
        <f aca="false">IFERROR(E149*G149,"")</f>
        <v>0</v>
      </c>
      <c r="I149" s="53"/>
      <c r="J149" s="55"/>
      <c r="K149" s="55"/>
      <c r="L149" s="55"/>
      <c r="M149" s="53"/>
      <c r="N149" s="53"/>
    </row>
    <row r="150" customFormat="false" ht="16.5" hidden="false" customHeight="true" outlineLevel="0" collapsed="false">
      <c r="A150" s="52" t="n">
        <v>22</v>
      </c>
      <c r="B150" s="53"/>
      <c r="C150" s="53"/>
      <c r="D150" s="53"/>
      <c r="E150" s="59"/>
      <c r="F150" s="59"/>
      <c r="G150" s="60"/>
      <c r="H150" s="57" t="n">
        <f aca="false">IFERROR(E150*G150,"")</f>
        <v>0</v>
      </c>
      <c r="I150" s="53"/>
      <c r="J150" s="55"/>
      <c r="K150" s="55"/>
      <c r="L150" s="55"/>
      <c r="M150" s="53"/>
      <c r="N150" s="53"/>
    </row>
    <row r="151" customFormat="false" ht="16.5" hidden="false" customHeight="true" outlineLevel="0" collapsed="false">
      <c r="A151" s="52" t="n">
        <v>23</v>
      </c>
      <c r="B151" s="53"/>
      <c r="C151" s="53"/>
      <c r="D151" s="53"/>
      <c r="E151" s="59"/>
      <c r="F151" s="59"/>
      <c r="G151" s="60"/>
      <c r="H151" s="57" t="n">
        <f aca="false">IFERROR(E151*G151,"")</f>
        <v>0</v>
      </c>
      <c r="I151" s="53"/>
      <c r="J151" s="55"/>
      <c r="K151" s="55"/>
      <c r="L151" s="55"/>
      <c r="M151" s="53"/>
      <c r="N151" s="53"/>
    </row>
    <row r="152" customFormat="false" ht="16.5" hidden="false" customHeight="true" outlineLevel="0" collapsed="false">
      <c r="A152" s="52" t="n">
        <v>24</v>
      </c>
      <c r="B152" s="53"/>
      <c r="C152" s="53"/>
      <c r="D152" s="53"/>
      <c r="E152" s="59"/>
      <c r="F152" s="59"/>
      <c r="G152" s="60"/>
      <c r="H152" s="57" t="n">
        <f aca="false">IFERROR(E152*G152,"")</f>
        <v>0</v>
      </c>
      <c r="I152" s="53"/>
      <c r="J152" s="55"/>
      <c r="K152" s="55"/>
      <c r="L152" s="55"/>
      <c r="M152" s="53"/>
      <c r="N152" s="53"/>
    </row>
    <row r="153" customFormat="false" ht="16.5" hidden="false" customHeight="true" outlineLevel="0" collapsed="false">
      <c r="A153" s="52" t="n">
        <v>25</v>
      </c>
      <c r="B153" s="53"/>
      <c r="C153" s="53"/>
      <c r="D153" s="53"/>
      <c r="E153" s="59"/>
      <c r="F153" s="59"/>
      <c r="G153" s="60"/>
      <c r="H153" s="57" t="n">
        <f aca="false">IFERROR(E153*G153,"")</f>
        <v>0</v>
      </c>
      <c r="I153" s="53"/>
      <c r="J153" s="55"/>
      <c r="K153" s="55"/>
      <c r="L153" s="55"/>
      <c r="M153" s="53"/>
      <c r="N153" s="53"/>
    </row>
    <row r="154" customFormat="false" ht="16.5" hidden="false" customHeight="true" outlineLevel="0" collapsed="false">
      <c r="A154" s="52" t="n">
        <v>26</v>
      </c>
      <c r="B154" s="53"/>
      <c r="C154" s="53"/>
      <c r="D154" s="53"/>
      <c r="E154" s="59"/>
      <c r="F154" s="59"/>
      <c r="G154" s="60"/>
      <c r="H154" s="57" t="n">
        <f aca="false">IFERROR(E154*G154,"")</f>
        <v>0</v>
      </c>
      <c r="I154" s="53"/>
      <c r="J154" s="55"/>
      <c r="K154" s="55"/>
      <c r="L154" s="55"/>
      <c r="M154" s="53"/>
      <c r="N154" s="53"/>
    </row>
    <row r="155" customFormat="false" ht="16.5" hidden="false" customHeight="true" outlineLevel="0" collapsed="false">
      <c r="A155" s="52" t="n">
        <v>27</v>
      </c>
      <c r="B155" s="53"/>
      <c r="C155" s="53"/>
      <c r="D155" s="53"/>
      <c r="E155" s="59"/>
      <c r="F155" s="59"/>
      <c r="G155" s="60"/>
      <c r="H155" s="57" t="n">
        <f aca="false">IFERROR(E155*G155,"")</f>
        <v>0</v>
      </c>
      <c r="I155" s="53"/>
      <c r="J155" s="55"/>
      <c r="K155" s="55"/>
      <c r="L155" s="55"/>
      <c r="M155" s="53"/>
      <c r="N155" s="53"/>
    </row>
    <row r="156" customFormat="false" ht="16.5" hidden="false" customHeight="true" outlineLevel="0" collapsed="false">
      <c r="A156" s="52" t="n">
        <v>28</v>
      </c>
      <c r="B156" s="53"/>
      <c r="C156" s="53"/>
      <c r="D156" s="53"/>
      <c r="E156" s="59"/>
      <c r="F156" s="59"/>
      <c r="G156" s="60"/>
      <c r="H156" s="57" t="n">
        <f aca="false">IFERROR(E156*G156,"")</f>
        <v>0</v>
      </c>
      <c r="I156" s="53"/>
      <c r="J156" s="55"/>
      <c r="K156" s="55"/>
      <c r="L156" s="55"/>
      <c r="M156" s="53"/>
      <c r="N156" s="53"/>
    </row>
    <row r="157" customFormat="false" ht="16.5" hidden="false" customHeight="true" outlineLevel="0" collapsed="false">
      <c r="A157" s="52" t="n">
        <v>29</v>
      </c>
      <c r="B157" s="53"/>
      <c r="C157" s="53"/>
      <c r="D157" s="53"/>
      <c r="E157" s="59"/>
      <c r="F157" s="59"/>
      <c r="G157" s="60"/>
      <c r="H157" s="57" t="n">
        <f aca="false">IFERROR(E157*G157,"")</f>
        <v>0</v>
      </c>
      <c r="I157" s="53"/>
      <c r="J157" s="55"/>
      <c r="K157" s="55"/>
      <c r="L157" s="55"/>
      <c r="M157" s="53"/>
      <c r="N157" s="53"/>
    </row>
    <row r="158" customFormat="false" ht="16.5" hidden="false" customHeight="true" outlineLevel="0" collapsed="false">
      <c r="A158" s="52" t="n">
        <v>30</v>
      </c>
      <c r="B158" s="53"/>
      <c r="C158" s="53"/>
      <c r="D158" s="53"/>
      <c r="E158" s="59"/>
      <c r="F158" s="59"/>
      <c r="G158" s="60"/>
      <c r="H158" s="57" t="n">
        <f aca="false">IFERROR(E158*G158,"")</f>
        <v>0</v>
      </c>
      <c r="I158" s="53"/>
      <c r="J158" s="55"/>
      <c r="K158" s="55"/>
      <c r="L158" s="55"/>
      <c r="M158" s="53"/>
      <c r="N158" s="53"/>
    </row>
    <row r="159" customFormat="false" ht="16.5" hidden="false" customHeight="true" outlineLevel="0" collapsed="false">
      <c r="A159" s="52" t="n">
        <v>31</v>
      </c>
      <c r="B159" s="53"/>
      <c r="C159" s="53"/>
      <c r="D159" s="53"/>
      <c r="E159" s="59"/>
      <c r="F159" s="59"/>
      <c r="G159" s="60"/>
      <c r="H159" s="57" t="n">
        <f aca="false">IFERROR(E159*G159,"")</f>
        <v>0</v>
      </c>
      <c r="I159" s="53"/>
      <c r="J159" s="55"/>
      <c r="K159" s="55"/>
      <c r="L159" s="55"/>
      <c r="M159" s="53"/>
      <c r="N159" s="53"/>
    </row>
    <row r="160" customFormat="false" ht="16.5" hidden="false" customHeight="true" outlineLevel="0" collapsed="false">
      <c r="A160" s="52" t="n">
        <v>32</v>
      </c>
      <c r="B160" s="53"/>
      <c r="C160" s="53"/>
      <c r="D160" s="53"/>
      <c r="E160" s="59"/>
      <c r="F160" s="59"/>
      <c r="G160" s="60"/>
      <c r="H160" s="57" t="n">
        <f aca="false">IFERROR(E160*G160,"")</f>
        <v>0</v>
      </c>
      <c r="I160" s="53"/>
      <c r="J160" s="55"/>
      <c r="K160" s="55"/>
      <c r="L160" s="55"/>
      <c r="M160" s="53"/>
      <c r="N160" s="53"/>
    </row>
    <row r="161" customFormat="false" ht="16.5" hidden="false" customHeight="true" outlineLevel="0" collapsed="false">
      <c r="A161" s="52" t="n">
        <v>33</v>
      </c>
      <c r="B161" s="53"/>
      <c r="C161" s="53"/>
      <c r="D161" s="53"/>
      <c r="E161" s="59"/>
      <c r="F161" s="59"/>
      <c r="G161" s="60"/>
      <c r="H161" s="57" t="n">
        <f aca="false">IFERROR(E161*G161,"")</f>
        <v>0</v>
      </c>
      <c r="I161" s="53"/>
      <c r="J161" s="55"/>
      <c r="K161" s="55"/>
      <c r="L161" s="55"/>
      <c r="M161" s="53"/>
      <c r="N161" s="53"/>
    </row>
    <row r="162" customFormat="false" ht="16.5" hidden="false" customHeight="true" outlineLevel="0" collapsed="false">
      <c r="A162" s="52" t="n">
        <v>34</v>
      </c>
      <c r="B162" s="53"/>
      <c r="C162" s="53"/>
      <c r="D162" s="53"/>
      <c r="E162" s="59"/>
      <c r="F162" s="59"/>
      <c r="G162" s="60"/>
      <c r="H162" s="57" t="n">
        <f aca="false">IFERROR(E162*G162,"")</f>
        <v>0</v>
      </c>
      <c r="I162" s="53"/>
      <c r="J162" s="55"/>
      <c r="K162" s="55"/>
      <c r="L162" s="55"/>
      <c r="M162" s="53"/>
      <c r="N162" s="53"/>
    </row>
    <row r="163" customFormat="false" ht="16.5" hidden="false" customHeight="true" outlineLevel="0" collapsed="false">
      <c r="A163" s="52" t="n">
        <v>35</v>
      </c>
      <c r="B163" s="53"/>
      <c r="C163" s="53"/>
      <c r="D163" s="53"/>
      <c r="E163" s="59"/>
      <c r="F163" s="59"/>
      <c r="G163" s="60"/>
      <c r="H163" s="57" t="n">
        <f aca="false">IFERROR(E163*G163,"")</f>
        <v>0</v>
      </c>
      <c r="I163" s="53"/>
      <c r="J163" s="55"/>
      <c r="K163" s="55"/>
      <c r="L163" s="55"/>
      <c r="M163" s="53"/>
      <c r="N163" s="53"/>
    </row>
    <row r="164" customFormat="false" ht="16.5" hidden="false" customHeight="true" outlineLevel="0" collapsed="false">
      <c r="A164" s="52" t="n">
        <v>36</v>
      </c>
      <c r="B164" s="53"/>
      <c r="C164" s="53"/>
      <c r="D164" s="53"/>
      <c r="E164" s="59"/>
      <c r="F164" s="59"/>
      <c r="G164" s="60"/>
      <c r="H164" s="57" t="n">
        <f aca="false">IFERROR(E164*G164,"")</f>
        <v>0</v>
      </c>
      <c r="I164" s="53"/>
      <c r="J164" s="55"/>
      <c r="K164" s="55"/>
      <c r="L164" s="55"/>
      <c r="M164" s="53"/>
      <c r="N164" s="53"/>
    </row>
    <row r="165" customFormat="false" ht="16.5" hidden="false" customHeight="true" outlineLevel="0" collapsed="false">
      <c r="A165" s="52" t="n">
        <v>37</v>
      </c>
      <c r="B165" s="53"/>
      <c r="C165" s="53"/>
      <c r="D165" s="53"/>
      <c r="E165" s="59"/>
      <c r="F165" s="59"/>
      <c r="G165" s="60"/>
      <c r="H165" s="57" t="n">
        <f aca="false">IFERROR(E165*G165,"")</f>
        <v>0</v>
      </c>
      <c r="I165" s="53"/>
      <c r="J165" s="55"/>
      <c r="K165" s="55"/>
      <c r="L165" s="55"/>
      <c r="M165" s="53"/>
      <c r="N165" s="53"/>
    </row>
    <row r="166" customFormat="false" ht="16.5" hidden="false" customHeight="true" outlineLevel="0" collapsed="false">
      <c r="A166" s="52" t="n">
        <v>38</v>
      </c>
      <c r="B166" s="53"/>
      <c r="C166" s="53"/>
      <c r="D166" s="53"/>
      <c r="E166" s="59"/>
      <c r="F166" s="59"/>
      <c r="G166" s="60"/>
      <c r="H166" s="57" t="n">
        <f aca="false">IFERROR(E166*G166,"")</f>
        <v>0</v>
      </c>
      <c r="I166" s="53"/>
      <c r="J166" s="55"/>
      <c r="K166" s="55"/>
      <c r="L166" s="55"/>
      <c r="M166" s="53"/>
      <c r="N166" s="53"/>
    </row>
    <row r="167" customFormat="false" ht="16.5" hidden="false" customHeight="true" outlineLevel="0" collapsed="false">
      <c r="A167" s="52" t="n">
        <v>39</v>
      </c>
      <c r="B167" s="53"/>
      <c r="C167" s="53"/>
      <c r="D167" s="53"/>
      <c r="E167" s="59"/>
      <c r="F167" s="59"/>
      <c r="G167" s="60"/>
      <c r="H167" s="57" t="n">
        <f aca="false">IFERROR(E167*G167,"")</f>
        <v>0</v>
      </c>
      <c r="I167" s="53"/>
      <c r="J167" s="55"/>
      <c r="K167" s="55"/>
      <c r="L167" s="55"/>
      <c r="M167" s="53"/>
      <c r="N167" s="53"/>
    </row>
    <row r="168" customFormat="false" ht="16.5" hidden="false" customHeight="true" outlineLevel="0" collapsed="false">
      <c r="A168" s="52" t="n">
        <v>40</v>
      </c>
      <c r="B168" s="53"/>
      <c r="C168" s="53"/>
      <c r="D168" s="53"/>
      <c r="E168" s="59"/>
      <c r="F168" s="59"/>
      <c r="G168" s="60"/>
      <c r="H168" s="57" t="n">
        <f aca="false">IFERROR(E168*G168,"")</f>
        <v>0</v>
      </c>
      <c r="I168" s="53"/>
      <c r="J168" s="55"/>
      <c r="K168" s="55"/>
      <c r="L168" s="55"/>
      <c r="M168" s="53"/>
      <c r="N168" s="53"/>
    </row>
    <row r="169" customFormat="false" ht="16.5" hidden="false" customHeight="true" outlineLevel="0" collapsed="false">
      <c r="A169" s="52" t="n">
        <v>41</v>
      </c>
      <c r="B169" s="53"/>
      <c r="C169" s="53"/>
      <c r="D169" s="53"/>
      <c r="E169" s="59"/>
      <c r="F169" s="59"/>
      <c r="G169" s="60"/>
      <c r="H169" s="57" t="n">
        <f aca="false">IFERROR(E169*G169,"")</f>
        <v>0</v>
      </c>
      <c r="I169" s="53"/>
      <c r="J169" s="55"/>
      <c r="K169" s="55"/>
      <c r="L169" s="55"/>
      <c r="M169" s="53"/>
      <c r="N169" s="53"/>
    </row>
    <row r="170" customFormat="false" ht="16.5" hidden="false" customHeight="true" outlineLevel="0" collapsed="false">
      <c r="A170" s="52" t="n">
        <v>42</v>
      </c>
      <c r="B170" s="53"/>
      <c r="C170" s="53"/>
      <c r="D170" s="53"/>
      <c r="E170" s="59"/>
      <c r="F170" s="59"/>
      <c r="G170" s="60"/>
      <c r="H170" s="57" t="n">
        <f aca="false">IFERROR(E170*G170,"")</f>
        <v>0</v>
      </c>
      <c r="I170" s="53"/>
      <c r="J170" s="55"/>
      <c r="K170" s="55"/>
      <c r="L170" s="55"/>
      <c r="M170" s="53"/>
      <c r="N170" s="53"/>
    </row>
    <row r="171" customFormat="false" ht="16.5" hidden="false" customHeight="true" outlineLevel="0" collapsed="false">
      <c r="A171" s="52" t="n">
        <v>43</v>
      </c>
      <c r="B171" s="53"/>
      <c r="C171" s="53"/>
      <c r="D171" s="53"/>
      <c r="E171" s="59"/>
      <c r="F171" s="59"/>
      <c r="G171" s="60"/>
      <c r="H171" s="57" t="n">
        <f aca="false">IFERROR(E171*G171,"")</f>
        <v>0</v>
      </c>
      <c r="I171" s="53"/>
      <c r="J171" s="55"/>
      <c r="K171" s="55"/>
      <c r="L171" s="55"/>
      <c r="M171" s="53"/>
      <c r="N171" s="53"/>
    </row>
    <row r="172" customFormat="false" ht="16.5" hidden="false" customHeight="true" outlineLevel="0" collapsed="false">
      <c r="A172" s="52" t="n">
        <v>44</v>
      </c>
      <c r="B172" s="53"/>
      <c r="C172" s="53"/>
      <c r="D172" s="53"/>
      <c r="E172" s="59"/>
      <c r="F172" s="59"/>
      <c r="G172" s="60"/>
      <c r="H172" s="57" t="n">
        <f aca="false">IFERROR(E172*G172,"")</f>
        <v>0</v>
      </c>
      <c r="I172" s="53"/>
      <c r="J172" s="55"/>
      <c r="K172" s="55"/>
      <c r="L172" s="55"/>
      <c r="M172" s="53"/>
      <c r="N172" s="53"/>
    </row>
    <row r="173" customFormat="false" ht="16.5" hidden="false" customHeight="true" outlineLevel="0" collapsed="false">
      <c r="A173" s="52" t="n">
        <v>45</v>
      </c>
      <c r="B173" s="53"/>
      <c r="C173" s="53"/>
      <c r="D173" s="53"/>
      <c r="E173" s="59"/>
      <c r="F173" s="59"/>
      <c r="G173" s="60"/>
      <c r="H173" s="57" t="n">
        <f aca="false">IFERROR(E173*G173,"")</f>
        <v>0</v>
      </c>
      <c r="I173" s="53"/>
      <c r="J173" s="55"/>
      <c r="K173" s="55"/>
      <c r="L173" s="55"/>
      <c r="M173" s="53"/>
      <c r="N173" s="53"/>
    </row>
    <row r="174" customFormat="false" ht="16.5" hidden="false" customHeight="true" outlineLevel="0" collapsed="false">
      <c r="A174" s="52" t="n">
        <v>46</v>
      </c>
      <c r="B174" s="53"/>
      <c r="C174" s="53"/>
      <c r="D174" s="53"/>
      <c r="E174" s="59"/>
      <c r="F174" s="59"/>
      <c r="G174" s="60"/>
      <c r="H174" s="57" t="n">
        <f aca="false">IFERROR(E174*G174,"")</f>
        <v>0</v>
      </c>
      <c r="I174" s="53"/>
      <c r="J174" s="55"/>
      <c r="K174" s="55"/>
      <c r="L174" s="55"/>
      <c r="M174" s="53"/>
      <c r="N174" s="53"/>
    </row>
    <row r="175" customFormat="false" ht="16.5" hidden="false" customHeight="true" outlineLevel="0" collapsed="false">
      <c r="A175" s="52" t="n">
        <v>47</v>
      </c>
      <c r="B175" s="53"/>
      <c r="C175" s="53"/>
      <c r="D175" s="53"/>
      <c r="E175" s="59"/>
      <c r="F175" s="59"/>
      <c r="G175" s="60"/>
      <c r="H175" s="57" t="n">
        <f aca="false">IFERROR(E175*G175,"")</f>
        <v>0</v>
      </c>
      <c r="I175" s="53"/>
      <c r="J175" s="55"/>
      <c r="K175" s="55"/>
      <c r="L175" s="55"/>
      <c r="M175" s="53"/>
      <c r="N175" s="53"/>
    </row>
    <row r="176" customFormat="false" ht="16.5" hidden="false" customHeight="true" outlineLevel="0" collapsed="false">
      <c r="A176" s="52" t="n">
        <v>48</v>
      </c>
      <c r="B176" s="53"/>
      <c r="C176" s="53"/>
      <c r="D176" s="53"/>
      <c r="E176" s="59"/>
      <c r="F176" s="59"/>
      <c r="G176" s="60"/>
      <c r="H176" s="57" t="n">
        <f aca="false">IFERROR(E176*G176,"")</f>
        <v>0</v>
      </c>
      <c r="I176" s="53"/>
      <c r="J176" s="55"/>
      <c r="K176" s="55"/>
      <c r="L176" s="55"/>
      <c r="M176" s="53"/>
      <c r="N176" s="53"/>
    </row>
    <row r="177" customFormat="false" ht="16.5" hidden="false" customHeight="true" outlineLevel="0" collapsed="false">
      <c r="A177" s="52" t="n">
        <v>49</v>
      </c>
      <c r="B177" s="53"/>
      <c r="C177" s="53"/>
      <c r="D177" s="53"/>
      <c r="E177" s="59"/>
      <c r="F177" s="59"/>
      <c r="G177" s="60"/>
      <c r="H177" s="57" t="n">
        <f aca="false">IFERROR(E177*G177,"")</f>
        <v>0</v>
      </c>
      <c r="I177" s="53"/>
      <c r="J177" s="55"/>
      <c r="K177" s="55"/>
      <c r="L177" s="55"/>
      <c r="M177" s="53"/>
      <c r="N177" s="53"/>
    </row>
    <row r="178" customFormat="false" ht="16.5" hidden="false" customHeight="true" outlineLevel="0" collapsed="false">
      <c r="A178" s="52" t="n">
        <v>50</v>
      </c>
      <c r="B178" s="53"/>
      <c r="C178" s="53"/>
      <c r="D178" s="53"/>
      <c r="E178" s="59"/>
      <c r="F178" s="59"/>
      <c r="G178" s="60"/>
      <c r="H178" s="57" t="n">
        <f aca="false">IFERROR(E178*G178,"")</f>
        <v>0</v>
      </c>
      <c r="I178" s="53"/>
      <c r="J178" s="55"/>
      <c r="K178" s="55"/>
      <c r="L178" s="55"/>
      <c r="M178" s="53"/>
      <c r="N178" s="53"/>
    </row>
    <row r="179" customFormat="false" ht="15" hidden="false" customHeight="true" outlineLevel="0" collapsed="false">
      <c r="A179" s="56" t="s">
        <v>260</v>
      </c>
      <c r="B179" s="56"/>
      <c r="C179" s="56"/>
      <c r="D179" s="56"/>
      <c r="E179" s="61" t="n">
        <f aca="false">IFERROR(SUM(E129:E178),0)</f>
        <v>30985</v>
      </c>
      <c r="F179" s="61" t="n">
        <f aca="false">IFERROR(SUM(F129:F178),0)</f>
        <v>16150</v>
      </c>
      <c r="G179" s="62" t="s">
        <v>298</v>
      </c>
      <c r="H179" s="57" t="n">
        <f aca="false">IFERROR(SUM(H129:H178),0)</f>
        <v>1025875</v>
      </c>
    </row>
    <row r="180" customFormat="false" ht="19.5" hidden="false" customHeight="true" outlineLevel="0" collapsed="false">
      <c r="A180" s="27" t="s">
        <v>299</v>
      </c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</row>
  </sheetData>
  <mergeCells count="16">
    <mergeCell ref="A1:D1"/>
    <mergeCell ref="A2:D2"/>
    <mergeCell ref="A5:D5"/>
    <mergeCell ref="A24:D24"/>
    <mergeCell ref="A34:D34"/>
    <mergeCell ref="A43:D43"/>
    <mergeCell ref="A54:D54"/>
    <mergeCell ref="A68:D68"/>
    <mergeCell ref="A74:D74"/>
    <mergeCell ref="A85:D85"/>
    <mergeCell ref="A86:D86"/>
    <mergeCell ref="A89:I89"/>
    <mergeCell ref="A126:E126"/>
    <mergeCell ref="A127:E127"/>
    <mergeCell ref="A179:D179"/>
    <mergeCell ref="A180:N180"/>
  </mergeCells>
  <dataValidations count="181">
    <dataValidation allowBlank="true" error="Select a valid option from the list." errorStyle="stop" errorTitle="Invalid Input" operator="between" showDropDown="false" showErrorMessage="true" showInputMessage="false" sqref="B6" type="list">
      <formula1>"On Track,At Risk,Delayed,Not Started,Completed"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70" type="list">
      <formula1>"Low,Medium,High,Critical"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71" type="list">
      <formula1>"Green,Amber,Red"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76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77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78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79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80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81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82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83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1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1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2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2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3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3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4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4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5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5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6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6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7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7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8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8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9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9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0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0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1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1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2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2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3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3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4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4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5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5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6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6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7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7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8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8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9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9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0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0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1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1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2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2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3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3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4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4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5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5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6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6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7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7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8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8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9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9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20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20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21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21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22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22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23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23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24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24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25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25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29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29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0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0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1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1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2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2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3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3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4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4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5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5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6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6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7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7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8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8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9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9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0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0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1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1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2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2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3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3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4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4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5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5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6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6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7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7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8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8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9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9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0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0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1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1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2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2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3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3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4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4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5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5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6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6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7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7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8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8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9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9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0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0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1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1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2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2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3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3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4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4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5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5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6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6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7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7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8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8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9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9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0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0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1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1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2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2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3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3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4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4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5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5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6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6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7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7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8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8" type="list">
      <formula1>"Pending,Confirmed,In Production,Shipped,Delivered,On Hold,Cancelled"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4"/>
    <col collapsed="false" customWidth="true" hidden="false" outlineLevel="0" max="3" min="3" style="1" width="10"/>
    <col collapsed="false" customWidth="true" hidden="false" outlineLevel="0" max="4" min="4" style="1" width="38"/>
    <col collapsed="false" customWidth="true" hidden="false" outlineLevel="0" max="5" min="5" style="1" width="20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8"/>
    <col collapsed="false" customWidth="true" hidden="false" outlineLevel="0" max="9" min="9" style="1" width="20"/>
    <col collapsed="false" customWidth="true" hidden="false" outlineLevel="0" max="10" min="10" style="1" width="13"/>
    <col collapsed="false" customWidth="true" hidden="false" outlineLevel="0" max="12" min="11" style="1" width="14"/>
    <col collapsed="false" customWidth="true" hidden="false" outlineLevel="0" max="13" min="13" style="1" width="16"/>
    <col collapsed="false" customWidth="true" hidden="false" outlineLevel="0" max="14" min="14" style="1" width="26"/>
  </cols>
  <sheetData>
    <row r="1" customFormat="false" ht="21.75" hidden="false" customHeight="true" outlineLevel="0" collapsed="false">
      <c r="A1" s="2" t="s">
        <v>300</v>
      </c>
      <c r="B1" s="2"/>
      <c r="C1" s="2"/>
      <c r="D1" s="2"/>
    </row>
    <row r="2" customFormat="false" ht="16.5" hidden="false" customHeight="true" outlineLevel="0" collapsed="false">
      <c r="A2" s="3" t="s">
        <v>87</v>
      </c>
      <c r="B2" s="3"/>
      <c r="C2" s="3"/>
      <c r="D2" s="3"/>
    </row>
    <row r="3" customFormat="false" ht="16.5" hidden="false" customHeight="true" outlineLevel="0" collapsed="false">
      <c r="A3" s="28" t="s">
        <v>88</v>
      </c>
      <c r="B3" s="29"/>
      <c r="C3" s="30" t="s">
        <v>89</v>
      </c>
      <c r="D3" s="31"/>
    </row>
    <row r="4" customFormat="false" ht="4.5" hidden="false" customHeight="true" outlineLevel="0" collapsed="false"/>
    <row r="5" customFormat="false" ht="19.5" hidden="false" customHeight="true" outlineLevel="0" collapsed="false">
      <c r="A5" s="32" t="s">
        <v>90</v>
      </c>
      <c r="B5" s="32"/>
      <c r="C5" s="32"/>
      <c r="D5" s="32"/>
    </row>
    <row r="6" customFormat="false" ht="18" hidden="false" customHeight="true" outlineLevel="0" collapsed="false">
      <c r="A6" s="33" t="s">
        <v>91</v>
      </c>
      <c r="B6" s="34" t="s">
        <v>301</v>
      </c>
      <c r="C6" s="35"/>
      <c r="D6" s="36" t="s">
        <v>93</v>
      </c>
    </row>
    <row r="7" customFormat="false" ht="18" hidden="false" customHeight="true" outlineLevel="0" collapsed="false">
      <c r="A7" s="37" t="s">
        <v>94</v>
      </c>
      <c r="B7" s="38" t="n">
        <v>6200000</v>
      </c>
      <c r="C7" s="35" t="s">
        <v>95</v>
      </c>
      <c r="D7" s="36" t="s">
        <v>96</v>
      </c>
    </row>
    <row r="8" customFormat="false" ht="18" hidden="false" customHeight="true" outlineLevel="0" collapsed="false">
      <c r="A8" s="33" t="s">
        <v>97</v>
      </c>
      <c r="B8" s="39" t="n">
        <f aca="false">IFERROR(SUMIF(H91:H125,"Spent",F91:F125),0)</f>
        <v>1850000</v>
      </c>
      <c r="C8" s="35" t="s">
        <v>95</v>
      </c>
      <c r="D8" s="36" t="s">
        <v>98</v>
      </c>
    </row>
    <row r="9" customFormat="false" ht="18" hidden="false" customHeight="true" outlineLevel="0" collapsed="false">
      <c r="A9" s="37" t="s">
        <v>99</v>
      </c>
      <c r="B9" s="39" t="n">
        <f aca="false">IFERROR(SUMIF(H91:H125,"Committed",F91:F125),0)</f>
        <v>560000</v>
      </c>
      <c r="C9" s="35" t="s">
        <v>95</v>
      </c>
      <c r="D9" s="36" t="s">
        <v>98</v>
      </c>
    </row>
    <row r="10" customFormat="false" ht="18" hidden="false" customHeight="true" outlineLevel="0" collapsed="false">
      <c r="A10" s="33" t="s">
        <v>100</v>
      </c>
      <c r="B10" s="40" t="n">
        <f aca="false">IFERROR(B7-B8-B9,"")</f>
        <v>3790000</v>
      </c>
      <c r="C10" s="35" t="s">
        <v>95</v>
      </c>
      <c r="D10" s="36" t="s">
        <v>101</v>
      </c>
    </row>
    <row r="11" customFormat="false" ht="18" hidden="false" customHeight="true" outlineLevel="0" collapsed="false">
      <c r="A11" s="37" t="s">
        <v>102</v>
      </c>
      <c r="B11" s="41" t="n">
        <f aca="false">IFERROR(B8/B7,"")</f>
        <v>0.298387096774194</v>
      </c>
      <c r="C11" s="35" t="s">
        <v>103</v>
      </c>
      <c r="D11" s="36" t="s">
        <v>104</v>
      </c>
    </row>
    <row r="12" customFormat="false" ht="18" hidden="false" customHeight="true" outlineLevel="0" collapsed="false">
      <c r="A12" s="33" t="s">
        <v>105</v>
      </c>
      <c r="B12" s="42" t="n">
        <v>210000</v>
      </c>
      <c r="C12" s="35" t="s">
        <v>106</v>
      </c>
      <c r="D12" s="36" t="s">
        <v>107</v>
      </c>
    </row>
    <row r="13" customFormat="false" ht="18" hidden="false" customHeight="true" outlineLevel="0" collapsed="false">
      <c r="A13" s="37" t="s">
        <v>108</v>
      </c>
      <c r="B13" s="42" t="n">
        <v>52000</v>
      </c>
      <c r="C13" s="35" t="s">
        <v>106</v>
      </c>
      <c r="D13" s="36" t="s">
        <v>109</v>
      </c>
    </row>
    <row r="14" customFormat="false" ht="18" hidden="false" customHeight="true" outlineLevel="0" collapsed="false">
      <c r="A14" s="33" t="s">
        <v>110</v>
      </c>
      <c r="B14" s="41" t="n">
        <f aca="false">IFERROR(B13/B12,"")</f>
        <v>0.247619047619048</v>
      </c>
      <c r="C14" s="35" t="s">
        <v>103</v>
      </c>
      <c r="D14" s="36" t="s">
        <v>104</v>
      </c>
    </row>
    <row r="15" customFormat="false" ht="18" hidden="false" customHeight="true" outlineLevel="0" collapsed="false">
      <c r="A15" s="37" t="s">
        <v>111</v>
      </c>
      <c r="B15" s="31" t="n">
        <v>14</v>
      </c>
      <c r="C15" s="35" t="s">
        <v>112</v>
      </c>
      <c r="D15" s="36" t="s">
        <v>113</v>
      </c>
    </row>
    <row r="16" customFormat="false" ht="18" hidden="false" customHeight="true" outlineLevel="0" collapsed="false">
      <c r="A16" s="33" t="s">
        <v>114</v>
      </c>
      <c r="B16" s="31" t="n">
        <v>3</v>
      </c>
      <c r="C16" s="35" t="s">
        <v>112</v>
      </c>
      <c r="D16" s="36" t="s">
        <v>115</v>
      </c>
    </row>
    <row r="17" customFormat="false" ht="18" hidden="false" customHeight="true" outlineLevel="0" collapsed="false">
      <c r="A17" s="37" t="s">
        <v>116</v>
      </c>
      <c r="B17" s="41" t="n">
        <f aca="false">IFERROR(B16/B15,"")</f>
        <v>0.214285714285714</v>
      </c>
      <c r="C17" s="35" t="s">
        <v>103</v>
      </c>
      <c r="D17" s="36" t="s">
        <v>104</v>
      </c>
    </row>
    <row r="18" customFormat="false" ht="18" hidden="false" customHeight="true" outlineLevel="0" collapsed="false">
      <c r="A18" s="33" t="s">
        <v>117</v>
      </c>
      <c r="B18" s="29" t="n">
        <v>46122</v>
      </c>
      <c r="C18" s="35" t="s">
        <v>118</v>
      </c>
      <c r="D18" s="36" t="s">
        <v>119</v>
      </c>
    </row>
    <row r="19" customFormat="false" ht="18" hidden="false" customHeight="true" outlineLevel="0" collapsed="false">
      <c r="A19" s="37" t="s">
        <v>120</v>
      </c>
      <c r="B19" s="29" t="n">
        <v>45658</v>
      </c>
      <c r="C19" s="35" t="s">
        <v>118</v>
      </c>
      <c r="D19" s="36" t="s">
        <v>121</v>
      </c>
    </row>
    <row r="20" customFormat="false" ht="18" hidden="false" customHeight="true" outlineLevel="0" collapsed="false">
      <c r="A20" s="33" t="s">
        <v>122</v>
      </c>
      <c r="B20" s="29" t="n">
        <v>46112</v>
      </c>
      <c r="C20" s="35" t="s">
        <v>118</v>
      </c>
      <c r="D20" s="36" t="s">
        <v>123</v>
      </c>
    </row>
    <row r="21" customFormat="false" ht="18" hidden="false" customHeight="true" outlineLevel="0" collapsed="false">
      <c r="A21" s="37" t="s">
        <v>124</v>
      </c>
      <c r="B21" s="31" t="s">
        <v>302</v>
      </c>
      <c r="C21" s="35"/>
      <c r="D21" s="36" t="s">
        <v>126</v>
      </c>
    </row>
    <row r="22" customFormat="false" ht="18" hidden="false" customHeight="true" outlineLevel="0" collapsed="false">
      <c r="A22" s="33" t="s">
        <v>127</v>
      </c>
      <c r="B22" s="31" t="s">
        <v>303</v>
      </c>
      <c r="C22" s="35"/>
      <c r="D22" s="36" t="s">
        <v>129</v>
      </c>
    </row>
    <row r="23" customFormat="false" ht="4.5" hidden="false" customHeight="true" outlineLevel="0" collapsed="false"/>
    <row r="24" customFormat="false" ht="19.5" hidden="false" customHeight="true" outlineLevel="0" collapsed="false">
      <c r="A24" s="32" t="s">
        <v>130</v>
      </c>
      <c r="B24" s="32"/>
      <c r="C24" s="32"/>
      <c r="D24" s="32"/>
    </row>
    <row r="25" customFormat="false" ht="16.5" hidden="false" customHeight="true" outlineLevel="0" collapsed="false">
      <c r="A25" s="37" t="s">
        <v>131</v>
      </c>
      <c r="B25" s="31" t="s">
        <v>304</v>
      </c>
      <c r="C25" s="35" t="s">
        <v>133</v>
      </c>
      <c r="D25" s="36" t="s">
        <v>134</v>
      </c>
    </row>
    <row r="26" customFormat="false" ht="16.5" hidden="false" customHeight="true" outlineLevel="0" collapsed="false">
      <c r="A26" s="33" t="s">
        <v>135</v>
      </c>
      <c r="B26" s="31" t="s">
        <v>305</v>
      </c>
      <c r="C26" s="35" t="s">
        <v>133</v>
      </c>
      <c r="D26" s="36" t="s">
        <v>134</v>
      </c>
    </row>
    <row r="27" customFormat="false" ht="16.5" hidden="false" customHeight="true" outlineLevel="0" collapsed="false">
      <c r="A27" s="37" t="s">
        <v>137</v>
      </c>
      <c r="B27" s="31" t="s">
        <v>142</v>
      </c>
      <c r="C27" s="35" t="s">
        <v>133</v>
      </c>
      <c r="D27" s="36" t="s">
        <v>134</v>
      </c>
    </row>
    <row r="28" customFormat="false" ht="16.5" hidden="false" customHeight="true" outlineLevel="0" collapsed="false">
      <c r="A28" s="33" t="s">
        <v>139</v>
      </c>
      <c r="B28" s="31" t="s">
        <v>306</v>
      </c>
      <c r="C28" s="35" t="s">
        <v>133</v>
      </c>
      <c r="D28" s="36" t="s">
        <v>134</v>
      </c>
    </row>
    <row r="29" customFormat="false" ht="16.5" hidden="false" customHeight="true" outlineLevel="0" collapsed="false">
      <c r="A29" s="37" t="s">
        <v>141</v>
      </c>
      <c r="B29" s="31" t="s">
        <v>140</v>
      </c>
      <c r="C29" s="35" t="s">
        <v>133</v>
      </c>
      <c r="D29" s="36" t="s">
        <v>134</v>
      </c>
    </row>
    <row r="30" customFormat="false" ht="16.5" hidden="false" customHeight="true" outlineLevel="0" collapsed="false">
      <c r="A30" s="33" t="s">
        <v>143</v>
      </c>
      <c r="B30" s="31"/>
      <c r="C30" s="35" t="s">
        <v>133</v>
      </c>
      <c r="D30" s="36" t="s">
        <v>134</v>
      </c>
    </row>
    <row r="31" customFormat="false" ht="16.5" hidden="false" customHeight="true" outlineLevel="0" collapsed="false">
      <c r="A31" s="37" t="s">
        <v>144</v>
      </c>
      <c r="B31" s="31"/>
      <c r="C31" s="35" t="s">
        <v>133</v>
      </c>
      <c r="D31" s="36" t="s">
        <v>134</v>
      </c>
    </row>
    <row r="32" customFormat="false" ht="16.5" hidden="false" customHeight="true" outlineLevel="0" collapsed="false">
      <c r="A32" s="33" t="s">
        <v>145</v>
      </c>
      <c r="B32" s="31"/>
      <c r="C32" s="35" t="s">
        <v>133</v>
      </c>
      <c r="D32" s="36" t="s">
        <v>134</v>
      </c>
    </row>
    <row r="33" customFormat="false" ht="4.5" hidden="false" customHeight="true" outlineLevel="0" collapsed="false"/>
    <row r="34" customFormat="false" ht="19.5" hidden="false" customHeight="true" outlineLevel="0" collapsed="false">
      <c r="A34" s="32" t="s">
        <v>146</v>
      </c>
      <c r="B34" s="32"/>
      <c r="C34" s="32"/>
      <c r="D34" s="32"/>
    </row>
    <row r="35" customFormat="false" ht="18" hidden="false" customHeight="true" outlineLevel="0" collapsed="false">
      <c r="A35" s="33" t="s">
        <v>147</v>
      </c>
      <c r="B35" s="40" t="n">
        <f aca="false">IFERROR(COUNTIF(M129:M178,"Pending"),0)</f>
        <v>3</v>
      </c>
      <c r="C35" s="35" t="s">
        <v>106</v>
      </c>
      <c r="D35" s="36" t="s">
        <v>148</v>
      </c>
    </row>
    <row r="36" customFormat="false" ht="18" hidden="false" customHeight="true" outlineLevel="0" collapsed="false">
      <c r="A36" s="37" t="s">
        <v>149</v>
      </c>
      <c r="B36" s="40" t="n">
        <f aca="false">IFERROR(COUNTIF(M129:M178,"Confirmed"),0)</f>
        <v>2</v>
      </c>
      <c r="C36" s="35" t="s">
        <v>106</v>
      </c>
      <c r="D36" s="36" t="s">
        <v>148</v>
      </c>
    </row>
    <row r="37" customFormat="false" ht="18" hidden="false" customHeight="true" outlineLevel="0" collapsed="false">
      <c r="A37" s="33" t="s">
        <v>150</v>
      </c>
      <c r="B37" s="40" t="n">
        <f aca="false">IFERROR(COUNTIF(M129:M178,"In Production"),0)</f>
        <v>0</v>
      </c>
      <c r="C37" s="35" t="s">
        <v>106</v>
      </c>
      <c r="D37" s="36" t="s">
        <v>148</v>
      </c>
    </row>
    <row r="38" customFormat="false" ht="18" hidden="false" customHeight="true" outlineLevel="0" collapsed="false">
      <c r="A38" s="37" t="s">
        <v>151</v>
      </c>
      <c r="B38" s="40" t="n">
        <f aca="false">IFERROR(COUNTIF(M129:M178,"Shipped"),0)</f>
        <v>0</v>
      </c>
      <c r="C38" s="35" t="s">
        <v>106</v>
      </c>
      <c r="D38" s="36" t="s">
        <v>148</v>
      </c>
    </row>
    <row r="39" customFormat="false" ht="18" hidden="false" customHeight="true" outlineLevel="0" collapsed="false">
      <c r="A39" s="33" t="s">
        <v>152</v>
      </c>
      <c r="B39" s="40" t="n">
        <f aca="false">IFERROR(COUNTIF(M129:M178,"Delivered"),0)</f>
        <v>3</v>
      </c>
      <c r="C39" s="35" t="s">
        <v>106</v>
      </c>
      <c r="D39" s="36" t="s">
        <v>148</v>
      </c>
    </row>
    <row r="40" customFormat="false" ht="18" hidden="false" customHeight="true" outlineLevel="0" collapsed="false">
      <c r="A40" s="37" t="s">
        <v>153</v>
      </c>
      <c r="B40" s="40" t="n">
        <f aca="false">IFERROR(SUM(B35:B39),0)</f>
        <v>8</v>
      </c>
      <c r="C40" s="35" t="s">
        <v>106</v>
      </c>
      <c r="D40" s="36" t="s">
        <v>154</v>
      </c>
    </row>
    <row r="41" customFormat="false" ht="18" hidden="false" customHeight="true" outlineLevel="0" collapsed="false">
      <c r="A41" s="33" t="s">
        <v>155</v>
      </c>
      <c r="B41" s="43" t="n">
        <v>0.52</v>
      </c>
      <c r="C41" s="35" t="s">
        <v>103</v>
      </c>
      <c r="D41" s="36" t="s">
        <v>156</v>
      </c>
    </row>
    <row r="42" customFormat="false" ht="4.5" hidden="false" customHeight="true" outlineLevel="0" collapsed="false"/>
    <row r="43" customFormat="false" ht="19.5" hidden="false" customHeight="true" outlineLevel="0" collapsed="false">
      <c r="A43" s="32" t="s">
        <v>157</v>
      </c>
      <c r="B43" s="32"/>
      <c r="C43" s="32"/>
      <c r="D43" s="32"/>
    </row>
    <row r="44" customFormat="false" ht="18" hidden="false" customHeight="true" outlineLevel="0" collapsed="false">
      <c r="A44" s="33" t="s">
        <v>158</v>
      </c>
      <c r="B44" s="42" t="n">
        <v>310</v>
      </c>
      <c r="C44" s="35" t="s">
        <v>159</v>
      </c>
      <c r="D44" s="36" t="s">
        <v>160</v>
      </c>
    </row>
    <row r="45" customFormat="false" ht="18" hidden="false" customHeight="true" outlineLevel="0" collapsed="false">
      <c r="A45" s="37" t="s">
        <v>161</v>
      </c>
      <c r="B45" s="42" t="n">
        <v>90</v>
      </c>
      <c r="C45" s="35" t="s">
        <v>159</v>
      </c>
      <c r="D45" s="36" t="s">
        <v>162</v>
      </c>
    </row>
    <row r="46" customFormat="false" ht="18" hidden="false" customHeight="true" outlineLevel="0" collapsed="false">
      <c r="A46" s="33" t="s">
        <v>163</v>
      </c>
      <c r="B46" s="40" t="n">
        <f aca="false">IFERROR(B44+B45,"")</f>
        <v>400</v>
      </c>
      <c r="C46" s="35" t="s">
        <v>159</v>
      </c>
      <c r="D46" s="36" t="s">
        <v>104</v>
      </c>
    </row>
    <row r="47" customFormat="false" ht="18" hidden="false" customHeight="true" outlineLevel="0" collapsed="false">
      <c r="A47" s="37" t="s">
        <v>164</v>
      </c>
      <c r="B47" s="42" t="n">
        <v>900</v>
      </c>
      <c r="C47" s="35" t="s">
        <v>159</v>
      </c>
      <c r="D47" s="36" t="s">
        <v>165</v>
      </c>
    </row>
    <row r="48" customFormat="false" ht="18" hidden="false" customHeight="true" outlineLevel="0" collapsed="false">
      <c r="A48" s="33" t="s">
        <v>166</v>
      </c>
      <c r="B48" s="41" t="n">
        <f aca="false">IFERROR((B44+B45)/B47,"")</f>
        <v>0.444444444444444</v>
      </c>
      <c r="C48" s="35" t="s">
        <v>103</v>
      </c>
      <c r="D48" s="36" t="s">
        <v>104</v>
      </c>
    </row>
    <row r="49" customFormat="false" ht="18" hidden="false" customHeight="true" outlineLevel="0" collapsed="false">
      <c r="A49" s="37" t="s">
        <v>167</v>
      </c>
      <c r="B49" s="31" t="s">
        <v>307</v>
      </c>
      <c r="C49" s="35" t="s">
        <v>169</v>
      </c>
      <c r="D49" s="36" t="s">
        <v>170</v>
      </c>
    </row>
    <row r="50" customFormat="false" ht="18" hidden="false" customHeight="true" outlineLevel="0" collapsed="false">
      <c r="A50" s="33" t="s">
        <v>171</v>
      </c>
      <c r="B50" s="31" t="s">
        <v>308</v>
      </c>
      <c r="C50" s="35" t="s">
        <v>169</v>
      </c>
      <c r="D50" s="36" t="s">
        <v>173</v>
      </c>
    </row>
    <row r="51" customFormat="false" ht="18" hidden="false" customHeight="true" outlineLevel="0" collapsed="false">
      <c r="A51" s="37" t="s">
        <v>174</v>
      </c>
      <c r="B51" s="31" t="s">
        <v>309</v>
      </c>
      <c r="C51" s="35" t="s">
        <v>169</v>
      </c>
      <c r="D51" s="36"/>
    </row>
    <row r="52" customFormat="false" ht="18" hidden="false" customHeight="true" outlineLevel="0" collapsed="false">
      <c r="A52" s="33" t="s">
        <v>176</v>
      </c>
      <c r="B52" s="31"/>
      <c r="C52" s="35" t="s">
        <v>169</v>
      </c>
      <c r="D52" s="36"/>
    </row>
    <row r="53" customFormat="false" ht="4.5" hidden="false" customHeight="true" outlineLevel="0" collapsed="false"/>
    <row r="54" customFormat="false" ht="19.5" hidden="false" customHeight="true" outlineLevel="0" collapsed="false">
      <c r="A54" s="32" t="s">
        <v>177</v>
      </c>
      <c r="B54" s="32"/>
      <c r="C54" s="32"/>
      <c r="D54" s="32"/>
    </row>
    <row r="55" customFormat="false" ht="18" hidden="false" customHeight="true" outlineLevel="0" collapsed="false">
      <c r="A55" s="33" t="s">
        <v>178</v>
      </c>
      <c r="B55" s="42" t="n">
        <v>14</v>
      </c>
      <c r="C55" s="35" t="s">
        <v>106</v>
      </c>
      <c r="D55" s="36" t="s">
        <v>179</v>
      </c>
    </row>
    <row r="56" customFormat="false" ht="18" hidden="false" customHeight="true" outlineLevel="0" collapsed="false">
      <c r="A56" s="37" t="s">
        <v>180</v>
      </c>
      <c r="B56" s="42" t="n">
        <v>4</v>
      </c>
      <c r="C56" s="35" t="s">
        <v>106</v>
      </c>
      <c r="D56" s="36" t="s">
        <v>181</v>
      </c>
    </row>
    <row r="57" customFormat="false" ht="18" hidden="false" customHeight="true" outlineLevel="0" collapsed="false">
      <c r="A57" s="33" t="s">
        <v>182</v>
      </c>
      <c r="B57" s="42" t="n">
        <v>3</v>
      </c>
      <c r="C57" s="35" t="s">
        <v>106</v>
      </c>
      <c r="D57" s="36" t="s">
        <v>183</v>
      </c>
    </row>
    <row r="58" customFormat="false" ht="18" hidden="false" customHeight="true" outlineLevel="0" collapsed="false">
      <c r="A58" s="37" t="s">
        <v>184</v>
      </c>
      <c r="B58" s="42" t="n">
        <v>2</v>
      </c>
      <c r="C58" s="35" t="s">
        <v>106</v>
      </c>
      <c r="D58" s="36" t="s">
        <v>185</v>
      </c>
    </row>
    <row r="59" customFormat="false" ht="18" hidden="false" customHeight="true" outlineLevel="0" collapsed="false">
      <c r="A59" s="33" t="s">
        <v>186</v>
      </c>
      <c r="B59" s="41" t="n">
        <f aca="false">IFERROR(B56/B55,"")</f>
        <v>0.285714285714286</v>
      </c>
      <c r="C59" s="35" t="s">
        <v>103</v>
      </c>
      <c r="D59" s="36" t="s">
        <v>104</v>
      </c>
    </row>
    <row r="60" customFormat="false" ht="18" hidden="false" customHeight="true" outlineLevel="0" collapsed="false">
      <c r="A60" s="37" t="s">
        <v>187</v>
      </c>
      <c r="B60" s="41" t="n">
        <f aca="false">IFERROR(B57/B55,"")</f>
        <v>0.214285714285714</v>
      </c>
      <c r="C60" s="35" t="s">
        <v>103</v>
      </c>
      <c r="D60" s="36" t="s">
        <v>104</v>
      </c>
    </row>
    <row r="61" customFormat="false" ht="18" hidden="false" customHeight="true" outlineLevel="0" collapsed="false">
      <c r="A61" s="33" t="s">
        <v>188</v>
      </c>
      <c r="B61" s="41" t="n">
        <f aca="false">IFERROR(B58/B55,"")</f>
        <v>0.142857142857143</v>
      </c>
      <c r="C61" s="35" t="s">
        <v>103</v>
      </c>
      <c r="D61" s="36" t="s">
        <v>104</v>
      </c>
    </row>
    <row r="62" customFormat="false" ht="18" hidden="false" customHeight="true" outlineLevel="0" collapsed="false">
      <c r="A62" s="37" t="s">
        <v>189</v>
      </c>
      <c r="B62" s="31" t="s">
        <v>310</v>
      </c>
      <c r="C62" s="35"/>
      <c r="D62" s="36" t="s">
        <v>191</v>
      </c>
    </row>
    <row r="63" customFormat="false" ht="18" hidden="false" customHeight="true" outlineLevel="0" collapsed="false">
      <c r="A63" s="33" t="s">
        <v>192</v>
      </c>
      <c r="B63" s="31" t="s">
        <v>193</v>
      </c>
      <c r="C63" s="35"/>
      <c r="D63" s="36"/>
    </row>
    <row r="64" customFormat="false" ht="18" hidden="false" customHeight="true" outlineLevel="0" collapsed="false">
      <c r="A64" s="37" t="s">
        <v>194</v>
      </c>
      <c r="B64" s="31" t="s">
        <v>311</v>
      </c>
      <c r="C64" s="35"/>
      <c r="D64" s="36"/>
    </row>
    <row r="65" customFormat="false" ht="18" hidden="false" customHeight="true" outlineLevel="0" collapsed="false">
      <c r="A65" s="33" t="s">
        <v>196</v>
      </c>
      <c r="B65" s="31" t="s">
        <v>312</v>
      </c>
      <c r="C65" s="35"/>
      <c r="D65" s="36"/>
    </row>
    <row r="66" customFormat="false" ht="18" hidden="false" customHeight="true" outlineLevel="0" collapsed="false">
      <c r="A66" s="37" t="s">
        <v>198</v>
      </c>
      <c r="B66" s="31"/>
      <c r="C66" s="35"/>
      <c r="D66" s="36"/>
    </row>
    <row r="67" customFormat="false" ht="4.5" hidden="false" customHeight="true" outlineLevel="0" collapsed="false"/>
    <row r="68" customFormat="false" ht="19.5" hidden="false" customHeight="true" outlineLevel="0" collapsed="false">
      <c r="A68" s="32" t="s">
        <v>199</v>
      </c>
      <c r="B68" s="32"/>
      <c r="C68" s="32"/>
      <c r="D68" s="32"/>
    </row>
    <row r="69" customFormat="false" ht="18" hidden="false" customHeight="true" outlineLevel="0" collapsed="false">
      <c r="A69" s="33" t="s">
        <v>200</v>
      </c>
      <c r="B69" s="43" t="n">
        <v>0.44</v>
      </c>
      <c r="C69" s="35" t="s">
        <v>103</v>
      </c>
      <c r="D69" s="36" t="s">
        <v>201</v>
      </c>
    </row>
    <row r="70" customFormat="false" ht="18" hidden="false" customHeight="true" outlineLevel="0" collapsed="false">
      <c r="A70" s="37" t="s">
        <v>202</v>
      </c>
      <c r="B70" s="31" t="s">
        <v>313</v>
      </c>
      <c r="C70" s="35"/>
      <c r="D70" s="36" t="s">
        <v>204</v>
      </c>
    </row>
    <row r="71" customFormat="false" ht="18" hidden="false" customHeight="true" outlineLevel="0" collapsed="false">
      <c r="A71" s="33" t="s">
        <v>205</v>
      </c>
      <c r="B71" s="31"/>
      <c r="C71" s="35"/>
      <c r="D71" s="36" t="s">
        <v>206</v>
      </c>
    </row>
    <row r="72" customFormat="false" ht="18" hidden="false" customHeight="true" outlineLevel="0" collapsed="false">
      <c r="A72" s="37" t="s">
        <v>207</v>
      </c>
      <c r="B72" s="31"/>
      <c r="C72" s="35"/>
      <c r="D72" s="36" t="s">
        <v>208</v>
      </c>
    </row>
    <row r="73" customFormat="false" ht="4.5" hidden="false" customHeight="true" outlineLevel="0" collapsed="false"/>
    <row r="74" customFormat="false" ht="19.5" hidden="false" customHeight="true" outlineLevel="0" collapsed="false">
      <c r="A74" s="44" t="s">
        <v>209</v>
      </c>
      <c r="B74" s="44"/>
      <c r="C74" s="44"/>
      <c r="D74" s="44"/>
    </row>
    <row r="75" customFormat="false" ht="18" hidden="false" customHeight="true" outlineLevel="0" collapsed="false">
      <c r="A75" s="45" t="s">
        <v>210</v>
      </c>
      <c r="B75" s="45" t="s">
        <v>211</v>
      </c>
      <c r="C75" s="45" t="s">
        <v>212</v>
      </c>
      <c r="D75" s="45" t="s">
        <v>213</v>
      </c>
    </row>
    <row r="76" customFormat="false" ht="30" hidden="false" customHeight="true" outlineLevel="0" collapsed="false">
      <c r="A76" s="46" t="n">
        <v>1</v>
      </c>
      <c r="B76" s="47" t="s">
        <v>313</v>
      </c>
      <c r="C76" s="48" t="s">
        <v>314</v>
      </c>
      <c r="D76" s="48" t="s">
        <v>315</v>
      </c>
    </row>
    <row r="77" customFormat="false" ht="30" hidden="false" customHeight="true" outlineLevel="0" collapsed="false">
      <c r="A77" s="49" t="n">
        <v>2</v>
      </c>
      <c r="B77" s="47" t="s">
        <v>313</v>
      </c>
      <c r="C77" s="48" t="s">
        <v>316</v>
      </c>
      <c r="D77" s="48" t="s">
        <v>317</v>
      </c>
    </row>
    <row r="78" customFormat="false" ht="30" hidden="false" customHeight="true" outlineLevel="0" collapsed="false">
      <c r="A78" s="46" t="n">
        <v>3</v>
      </c>
      <c r="B78" s="47" t="s">
        <v>214</v>
      </c>
      <c r="C78" s="48" t="s">
        <v>318</v>
      </c>
      <c r="D78" s="48" t="s">
        <v>319</v>
      </c>
    </row>
    <row r="79" customFormat="false" ht="30" hidden="false" customHeight="true" outlineLevel="0" collapsed="false">
      <c r="A79" s="49" t="n">
        <v>4</v>
      </c>
      <c r="B79" s="47"/>
      <c r="C79" s="48"/>
      <c r="D79" s="48"/>
    </row>
    <row r="80" customFormat="false" ht="30" hidden="false" customHeight="true" outlineLevel="0" collapsed="false">
      <c r="A80" s="46" t="n">
        <v>5</v>
      </c>
      <c r="B80" s="47"/>
      <c r="C80" s="48"/>
      <c r="D80" s="48"/>
    </row>
    <row r="81" customFormat="false" ht="30" hidden="false" customHeight="true" outlineLevel="0" collapsed="false">
      <c r="A81" s="49" t="n">
        <v>6</v>
      </c>
      <c r="B81" s="47"/>
      <c r="C81" s="48"/>
      <c r="D81" s="48"/>
    </row>
    <row r="82" customFormat="false" ht="30" hidden="false" customHeight="true" outlineLevel="0" collapsed="false">
      <c r="A82" s="46" t="n">
        <v>7</v>
      </c>
      <c r="B82" s="47"/>
      <c r="C82" s="48"/>
      <c r="D82" s="48"/>
    </row>
    <row r="83" customFormat="false" ht="30" hidden="false" customHeight="true" outlineLevel="0" collapsed="false">
      <c r="A83" s="49" t="n">
        <v>8</v>
      </c>
      <c r="B83" s="47"/>
      <c r="C83" s="48"/>
      <c r="D83" s="48"/>
    </row>
    <row r="84" customFormat="false" ht="4.5" hidden="false" customHeight="true" outlineLevel="0" collapsed="false"/>
    <row r="85" customFormat="false" ht="13.5" hidden="false" customHeight="true" outlineLevel="0" collapsed="false">
      <c r="A85" s="26" t="s">
        <v>219</v>
      </c>
      <c r="B85" s="26"/>
      <c r="C85" s="26"/>
      <c r="D85" s="26"/>
    </row>
    <row r="86" customFormat="false" ht="13.5" hidden="false" customHeight="true" outlineLevel="0" collapsed="false">
      <c r="A86" s="50" t="s">
        <v>220</v>
      </c>
      <c r="B86" s="50"/>
      <c r="C86" s="50"/>
      <c r="D86" s="50"/>
    </row>
    <row r="87" customFormat="false" ht="7.5" hidden="false" customHeight="true" outlineLevel="0" collapsed="false"/>
    <row r="88" customFormat="false" ht="7.5" hidden="false" customHeight="true" outlineLevel="0" collapsed="false"/>
    <row r="89" customFormat="false" ht="19.5" hidden="false" customHeight="true" outlineLevel="0" collapsed="false">
      <c r="A89" s="32" t="s">
        <v>221</v>
      </c>
      <c r="B89" s="32"/>
      <c r="C89" s="32"/>
      <c r="D89" s="32"/>
      <c r="E89" s="32"/>
      <c r="F89" s="32"/>
      <c r="G89" s="32"/>
      <c r="H89" s="32"/>
      <c r="I89" s="32"/>
    </row>
    <row r="90" customFormat="false" ht="30" hidden="false" customHeight="true" outlineLevel="0" collapsed="false">
      <c r="A90" s="51" t="s">
        <v>106</v>
      </c>
      <c r="B90" s="51" t="s">
        <v>222</v>
      </c>
      <c r="C90" s="51" t="s">
        <v>223</v>
      </c>
      <c r="D90" s="51" t="s">
        <v>224</v>
      </c>
      <c r="E90" s="51" t="s">
        <v>225</v>
      </c>
      <c r="F90" s="51" t="s">
        <v>226</v>
      </c>
      <c r="G90" s="51" t="s">
        <v>227</v>
      </c>
      <c r="H90" s="51" t="s">
        <v>228</v>
      </c>
      <c r="I90" s="51" t="s">
        <v>229</v>
      </c>
    </row>
    <row r="91" customFormat="false" ht="16.5" hidden="false" customHeight="true" outlineLevel="0" collapsed="false">
      <c r="A91" s="52" t="n">
        <v>1</v>
      </c>
      <c r="B91" s="53" t="s">
        <v>230</v>
      </c>
      <c r="C91" s="53" t="s">
        <v>320</v>
      </c>
      <c r="D91" s="53" t="s">
        <v>321</v>
      </c>
      <c r="E91" s="53" t="s">
        <v>233</v>
      </c>
      <c r="F91" s="54" t="n">
        <v>920000</v>
      </c>
      <c r="G91" s="55" t="n">
        <v>45677</v>
      </c>
      <c r="H91" s="53" t="s">
        <v>234</v>
      </c>
      <c r="I91" s="53"/>
    </row>
    <row r="92" customFormat="false" ht="16.5" hidden="false" customHeight="true" outlineLevel="0" collapsed="false">
      <c r="A92" s="52" t="n">
        <v>2</v>
      </c>
      <c r="B92" s="53" t="s">
        <v>230</v>
      </c>
      <c r="C92" s="53" t="s">
        <v>322</v>
      </c>
      <c r="D92" s="53" t="s">
        <v>323</v>
      </c>
      <c r="E92" s="53" t="s">
        <v>237</v>
      </c>
      <c r="F92" s="54" t="n">
        <v>480000</v>
      </c>
      <c r="G92" s="55" t="n">
        <v>45693</v>
      </c>
      <c r="H92" s="53" t="s">
        <v>234</v>
      </c>
      <c r="I92" s="53"/>
    </row>
    <row r="93" customFormat="false" ht="16.5" hidden="false" customHeight="true" outlineLevel="0" collapsed="false">
      <c r="A93" s="52" t="n">
        <v>3</v>
      </c>
      <c r="B93" s="53" t="s">
        <v>238</v>
      </c>
      <c r="C93" s="53" t="s">
        <v>324</v>
      </c>
      <c r="D93" s="53" t="s">
        <v>325</v>
      </c>
      <c r="E93" s="53" t="s">
        <v>241</v>
      </c>
      <c r="F93" s="54" t="n">
        <v>210000</v>
      </c>
      <c r="G93" s="55" t="n">
        <v>45703</v>
      </c>
      <c r="H93" s="53" t="s">
        <v>234</v>
      </c>
      <c r="I93" s="53"/>
    </row>
    <row r="94" customFormat="false" ht="16.5" hidden="false" customHeight="true" outlineLevel="0" collapsed="false">
      <c r="A94" s="52" t="n">
        <v>4</v>
      </c>
      <c r="B94" s="53" t="s">
        <v>238</v>
      </c>
      <c r="C94" s="53" t="s">
        <v>326</v>
      </c>
      <c r="D94" s="53" t="s">
        <v>327</v>
      </c>
      <c r="E94" s="53" t="s">
        <v>245</v>
      </c>
      <c r="F94" s="54" t="n">
        <v>185000</v>
      </c>
      <c r="G94" s="55" t="n">
        <v>45717</v>
      </c>
      <c r="H94" s="53" t="s">
        <v>234</v>
      </c>
      <c r="I94" s="53"/>
    </row>
    <row r="95" customFormat="false" ht="16.5" hidden="false" customHeight="true" outlineLevel="0" collapsed="false">
      <c r="A95" s="52" t="n">
        <v>5</v>
      </c>
      <c r="B95" s="53" t="s">
        <v>230</v>
      </c>
      <c r="C95" s="53" t="s">
        <v>246</v>
      </c>
      <c r="D95" s="53" t="s">
        <v>328</v>
      </c>
      <c r="E95" s="53" t="s">
        <v>248</v>
      </c>
      <c r="F95" s="54" t="n">
        <v>560000</v>
      </c>
      <c r="G95" s="55" t="n">
        <v>45748</v>
      </c>
      <c r="H95" s="53" t="s">
        <v>249</v>
      </c>
      <c r="I95" s="53"/>
    </row>
    <row r="96" customFormat="false" ht="16.5" hidden="false" customHeight="true" outlineLevel="0" collapsed="false">
      <c r="A96" s="52" t="n">
        <v>6</v>
      </c>
      <c r="B96" s="53" t="s">
        <v>242</v>
      </c>
      <c r="C96" s="53" t="s">
        <v>329</v>
      </c>
      <c r="D96" s="53" t="s">
        <v>330</v>
      </c>
      <c r="E96" s="53" t="s">
        <v>252</v>
      </c>
      <c r="F96" s="54" t="n">
        <v>55000</v>
      </c>
      <c r="G96" s="55" t="n">
        <v>45717</v>
      </c>
      <c r="H96" s="53" t="s">
        <v>234</v>
      </c>
      <c r="I96" s="53"/>
    </row>
    <row r="97" customFormat="false" ht="16.5" hidden="false" customHeight="true" outlineLevel="0" collapsed="false">
      <c r="A97" s="52" t="n">
        <v>7</v>
      </c>
      <c r="B97" s="53"/>
      <c r="C97" s="53"/>
      <c r="D97" s="53"/>
      <c r="E97" s="53"/>
      <c r="F97" s="54"/>
      <c r="G97" s="55"/>
      <c r="H97" s="53"/>
      <c r="I97" s="53"/>
    </row>
    <row r="98" customFormat="false" ht="16.5" hidden="false" customHeight="true" outlineLevel="0" collapsed="false">
      <c r="A98" s="52" t="n">
        <v>8</v>
      </c>
      <c r="B98" s="53"/>
      <c r="C98" s="53"/>
      <c r="D98" s="53"/>
      <c r="E98" s="53"/>
      <c r="F98" s="54"/>
      <c r="G98" s="55"/>
      <c r="H98" s="53"/>
      <c r="I98" s="53"/>
    </row>
    <row r="99" customFormat="false" ht="16.5" hidden="false" customHeight="true" outlineLevel="0" collapsed="false">
      <c r="A99" s="52" t="n">
        <v>9</v>
      </c>
      <c r="B99" s="53"/>
      <c r="C99" s="53"/>
      <c r="D99" s="53"/>
      <c r="E99" s="53"/>
      <c r="F99" s="54"/>
      <c r="G99" s="55"/>
      <c r="H99" s="53"/>
      <c r="I99" s="53"/>
    </row>
    <row r="100" customFormat="false" ht="16.5" hidden="false" customHeight="true" outlineLevel="0" collapsed="false">
      <c r="A100" s="52" t="n">
        <v>10</v>
      </c>
      <c r="B100" s="53"/>
      <c r="C100" s="53"/>
      <c r="D100" s="53"/>
      <c r="E100" s="53"/>
      <c r="F100" s="54"/>
      <c r="G100" s="55"/>
      <c r="H100" s="53"/>
      <c r="I100" s="53"/>
    </row>
    <row r="101" customFormat="false" ht="16.5" hidden="false" customHeight="true" outlineLevel="0" collapsed="false">
      <c r="A101" s="52" t="n">
        <v>11</v>
      </c>
      <c r="B101" s="53"/>
      <c r="C101" s="53"/>
      <c r="D101" s="53"/>
      <c r="E101" s="53"/>
      <c r="F101" s="54"/>
      <c r="G101" s="55"/>
      <c r="H101" s="53"/>
      <c r="I101" s="53"/>
    </row>
    <row r="102" customFormat="false" ht="16.5" hidden="false" customHeight="true" outlineLevel="0" collapsed="false">
      <c r="A102" s="52" t="n">
        <v>12</v>
      </c>
      <c r="B102" s="53"/>
      <c r="C102" s="53"/>
      <c r="D102" s="53"/>
      <c r="E102" s="53"/>
      <c r="F102" s="54"/>
      <c r="G102" s="55"/>
      <c r="H102" s="53"/>
      <c r="I102" s="53"/>
    </row>
    <row r="103" customFormat="false" ht="16.5" hidden="false" customHeight="true" outlineLevel="0" collapsed="false">
      <c r="A103" s="52" t="n">
        <v>13</v>
      </c>
      <c r="B103" s="53"/>
      <c r="C103" s="53"/>
      <c r="D103" s="53"/>
      <c r="E103" s="53"/>
      <c r="F103" s="54"/>
      <c r="G103" s="55"/>
      <c r="H103" s="53"/>
      <c r="I103" s="53"/>
    </row>
    <row r="104" customFormat="false" ht="16.5" hidden="false" customHeight="true" outlineLevel="0" collapsed="false">
      <c r="A104" s="52" t="n">
        <v>14</v>
      </c>
      <c r="B104" s="53"/>
      <c r="C104" s="53"/>
      <c r="D104" s="53"/>
      <c r="E104" s="53"/>
      <c r="F104" s="54"/>
      <c r="G104" s="55"/>
      <c r="H104" s="53"/>
      <c r="I104" s="53"/>
    </row>
    <row r="105" customFormat="false" ht="16.5" hidden="false" customHeight="true" outlineLevel="0" collapsed="false">
      <c r="A105" s="52" t="n">
        <v>15</v>
      </c>
      <c r="B105" s="53"/>
      <c r="C105" s="53"/>
      <c r="D105" s="53"/>
      <c r="E105" s="53"/>
      <c r="F105" s="54"/>
      <c r="G105" s="55"/>
      <c r="H105" s="53"/>
      <c r="I105" s="53"/>
    </row>
    <row r="106" customFormat="false" ht="16.5" hidden="false" customHeight="true" outlineLevel="0" collapsed="false">
      <c r="A106" s="52" t="n">
        <v>16</v>
      </c>
      <c r="B106" s="53"/>
      <c r="C106" s="53"/>
      <c r="D106" s="53"/>
      <c r="E106" s="53"/>
      <c r="F106" s="54"/>
      <c r="G106" s="55"/>
      <c r="H106" s="53"/>
      <c r="I106" s="53"/>
    </row>
    <row r="107" customFormat="false" ht="16.5" hidden="false" customHeight="true" outlineLevel="0" collapsed="false">
      <c r="A107" s="52" t="n">
        <v>17</v>
      </c>
      <c r="B107" s="53"/>
      <c r="C107" s="53"/>
      <c r="D107" s="53"/>
      <c r="E107" s="53"/>
      <c r="F107" s="54"/>
      <c r="G107" s="55"/>
      <c r="H107" s="53"/>
      <c r="I107" s="53"/>
    </row>
    <row r="108" customFormat="false" ht="16.5" hidden="false" customHeight="true" outlineLevel="0" collapsed="false">
      <c r="A108" s="52" t="n">
        <v>18</v>
      </c>
      <c r="B108" s="53"/>
      <c r="C108" s="53"/>
      <c r="D108" s="53"/>
      <c r="E108" s="53"/>
      <c r="F108" s="54"/>
      <c r="G108" s="55"/>
      <c r="H108" s="53"/>
      <c r="I108" s="53"/>
    </row>
    <row r="109" customFormat="false" ht="16.5" hidden="false" customHeight="true" outlineLevel="0" collapsed="false">
      <c r="A109" s="52" t="n">
        <v>19</v>
      </c>
      <c r="B109" s="53"/>
      <c r="C109" s="53"/>
      <c r="D109" s="53"/>
      <c r="E109" s="53"/>
      <c r="F109" s="54"/>
      <c r="G109" s="55"/>
      <c r="H109" s="53"/>
      <c r="I109" s="53"/>
    </row>
    <row r="110" customFormat="false" ht="16.5" hidden="false" customHeight="true" outlineLevel="0" collapsed="false">
      <c r="A110" s="52" t="n">
        <v>20</v>
      </c>
      <c r="B110" s="53"/>
      <c r="C110" s="53"/>
      <c r="D110" s="53"/>
      <c r="E110" s="53"/>
      <c r="F110" s="54"/>
      <c r="G110" s="55"/>
      <c r="H110" s="53"/>
      <c r="I110" s="53"/>
    </row>
    <row r="111" customFormat="false" ht="16.5" hidden="false" customHeight="true" outlineLevel="0" collapsed="false">
      <c r="A111" s="52" t="n">
        <v>21</v>
      </c>
      <c r="B111" s="53"/>
      <c r="C111" s="53"/>
      <c r="D111" s="53"/>
      <c r="E111" s="53"/>
      <c r="F111" s="54"/>
      <c r="G111" s="55"/>
      <c r="H111" s="53"/>
      <c r="I111" s="53"/>
    </row>
    <row r="112" customFormat="false" ht="16.5" hidden="false" customHeight="true" outlineLevel="0" collapsed="false">
      <c r="A112" s="52" t="n">
        <v>22</v>
      </c>
      <c r="B112" s="53"/>
      <c r="C112" s="53"/>
      <c r="D112" s="53"/>
      <c r="E112" s="53"/>
      <c r="F112" s="54"/>
      <c r="G112" s="55"/>
      <c r="H112" s="53"/>
      <c r="I112" s="53"/>
    </row>
    <row r="113" customFormat="false" ht="16.5" hidden="false" customHeight="true" outlineLevel="0" collapsed="false">
      <c r="A113" s="52" t="n">
        <v>23</v>
      </c>
      <c r="B113" s="53"/>
      <c r="C113" s="53"/>
      <c r="D113" s="53"/>
      <c r="E113" s="53"/>
      <c r="F113" s="54"/>
      <c r="G113" s="55"/>
      <c r="H113" s="53"/>
      <c r="I113" s="53"/>
    </row>
    <row r="114" customFormat="false" ht="16.5" hidden="false" customHeight="true" outlineLevel="0" collapsed="false">
      <c r="A114" s="52" t="n">
        <v>24</v>
      </c>
      <c r="B114" s="53"/>
      <c r="C114" s="53"/>
      <c r="D114" s="53"/>
      <c r="E114" s="53"/>
      <c r="F114" s="54"/>
      <c r="G114" s="55"/>
      <c r="H114" s="53"/>
      <c r="I114" s="53"/>
    </row>
    <row r="115" customFormat="false" ht="16.5" hidden="false" customHeight="true" outlineLevel="0" collapsed="false">
      <c r="A115" s="52" t="n">
        <v>25</v>
      </c>
      <c r="B115" s="53"/>
      <c r="C115" s="53"/>
      <c r="D115" s="53"/>
      <c r="E115" s="53"/>
      <c r="F115" s="54"/>
      <c r="G115" s="55"/>
      <c r="H115" s="53"/>
      <c r="I115" s="53"/>
    </row>
    <row r="116" customFormat="false" ht="16.5" hidden="false" customHeight="true" outlineLevel="0" collapsed="false">
      <c r="A116" s="52" t="n">
        <v>26</v>
      </c>
      <c r="B116" s="53"/>
      <c r="C116" s="53"/>
      <c r="D116" s="53"/>
      <c r="E116" s="53"/>
      <c r="F116" s="54"/>
      <c r="G116" s="55"/>
      <c r="H116" s="53"/>
      <c r="I116" s="53"/>
    </row>
    <row r="117" customFormat="false" ht="16.5" hidden="false" customHeight="true" outlineLevel="0" collapsed="false">
      <c r="A117" s="52" t="n">
        <v>27</v>
      </c>
      <c r="B117" s="53"/>
      <c r="C117" s="53"/>
      <c r="D117" s="53"/>
      <c r="E117" s="53"/>
      <c r="F117" s="54"/>
      <c r="G117" s="55"/>
      <c r="H117" s="53"/>
      <c r="I117" s="53"/>
    </row>
    <row r="118" customFormat="false" ht="16.5" hidden="false" customHeight="true" outlineLevel="0" collapsed="false">
      <c r="A118" s="52" t="n">
        <v>28</v>
      </c>
      <c r="B118" s="53"/>
      <c r="C118" s="53"/>
      <c r="D118" s="53"/>
      <c r="E118" s="53"/>
      <c r="F118" s="54"/>
      <c r="G118" s="55"/>
      <c r="H118" s="53"/>
      <c r="I118" s="53"/>
    </row>
    <row r="119" customFormat="false" ht="16.5" hidden="false" customHeight="true" outlineLevel="0" collapsed="false">
      <c r="A119" s="52" t="n">
        <v>29</v>
      </c>
      <c r="B119" s="53"/>
      <c r="C119" s="53"/>
      <c r="D119" s="53"/>
      <c r="E119" s="53"/>
      <c r="F119" s="54"/>
      <c r="G119" s="55"/>
      <c r="H119" s="53"/>
      <c r="I119" s="53"/>
    </row>
    <row r="120" customFormat="false" ht="16.5" hidden="false" customHeight="true" outlineLevel="0" collapsed="false">
      <c r="A120" s="52" t="n">
        <v>30</v>
      </c>
      <c r="B120" s="53"/>
      <c r="C120" s="53"/>
      <c r="D120" s="53"/>
      <c r="E120" s="53"/>
      <c r="F120" s="54"/>
      <c r="G120" s="55"/>
      <c r="H120" s="53"/>
      <c r="I120" s="53"/>
    </row>
    <row r="121" customFormat="false" ht="16.5" hidden="false" customHeight="true" outlineLevel="0" collapsed="false">
      <c r="A121" s="52" t="n">
        <v>31</v>
      </c>
      <c r="B121" s="53"/>
      <c r="C121" s="53"/>
      <c r="D121" s="53"/>
      <c r="E121" s="53"/>
      <c r="F121" s="54"/>
      <c r="G121" s="55"/>
      <c r="H121" s="53"/>
      <c r="I121" s="53"/>
    </row>
    <row r="122" customFormat="false" ht="16.5" hidden="false" customHeight="true" outlineLevel="0" collapsed="false">
      <c r="A122" s="52" t="n">
        <v>32</v>
      </c>
      <c r="B122" s="53"/>
      <c r="C122" s="53"/>
      <c r="D122" s="53"/>
      <c r="E122" s="53"/>
      <c r="F122" s="54"/>
      <c r="G122" s="55"/>
      <c r="H122" s="53"/>
      <c r="I122" s="53"/>
    </row>
    <row r="123" customFormat="false" ht="16.5" hidden="false" customHeight="true" outlineLevel="0" collapsed="false">
      <c r="A123" s="52" t="n">
        <v>33</v>
      </c>
      <c r="B123" s="53"/>
      <c r="C123" s="53"/>
      <c r="D123" s="53"/>
      <c r="E123" s="53"/>
      <c r="F123" s="54"/>
      <c r="G123" s="55"/>
      <c r="H123" s="53"/>
      <c r="I123" s="53"/>
    </row>
    <row r="124" customFormat="false" ht="16.5" hidden="false" customHeight="true" outlineLevel="0" collapsed="false">
      <c r="A124" s="52" t="n">
        <v>34</v>
      </c>
      <c r="B124" s="53"/>
      <c r="C124" s="53"/>
      <c r="D124" s="53"/>
      <c r="E124" s="53"/>
      <c r="F124" s="54"/>
      <c r="G124" s="55"/>
      <c r="H124" s="53"/>
      <c r="I124" s="53"/>
    </row>
    <row r="125" customFormat="false" ht="16.5" hidden="false" customHeight="true" outlineLevel="0" collapsed="false">
      <c r="A125" s="52" t="n">
        <v>35</v>
      </c>
      <c r="B125" s="53"/>
      <c r="C125" s="53"/>
      <c r="D125" s="53"/>
      <c r="E125" s="53"/>
      <c r="F125" s="54"/>
      <c r="G125" s="55"/>
      <c r="H125" s="53"/>
      <c r="I125" s="53"/>
    </row>
    <row r="126" customFormat="false" ht="15" hidden="false" customHeight="true" outlineLevel="0" collapsed="false">
      <c r="A126" s="56" t="s">
        <v>260</v>
      </c>
      <c r="B126" s="56"/>
      <c r="C126" s="56"/>
      <c r="D126" s="56"/>
      <c r="E126" s="56"/>
      <c r="F126" s="57" t="n">
        <f aca="false">IFERROR(SUM(F91:F125),0)</f>
        <v>2410000</v>
      </c>
    </row>
    <row r="127" customFormat="false" ht="19.5" hidden="false" customHeight="true" outlineLevel="0" collapsed="false">
      <c r="A127" s="32" t="s">
        <v>261</v>
      </c>
      <c r="B127" s="32"/>
      <c r="C127" s="32"/>
      <c r="D127" s="32"/>
      <c r="E127" s="32"/>
      <c r="F127" s="58"/>
      <c r="G127" s="58"/>
      <c r="H127" s="58"/>
      <c r="I127" s="58"/>
      <c r="J127" s="58"/>
      <c r="K127" s="58"/>
      <c r="L127" s="58"/>
      <c r="M127" s="58"/>
      <c r="N127" s="58"/>
    </row>
    <row r="128" customFormat="false" ht="31.5" hidden="false" customHeight="true" outlineLevel="0" collapsed="false">
      <c r="A128" s="51" t="s">
        <v>106</v>
      </c>
      <c r="B128" s="51" t="s">
        <v>262</v>
      </c>
      <c r="C128" s="51" t="s">
        <v>263</v>
      </c>
      <c r="D128" s="51" t="s">
        <v>264</v>
      </c>
      <c r="E128" s="51" t="s">
        <v>265</v>
      </c>
      <c r="F128" s="51" t="s">
        <v>266</v>
      </c>
      <c r="G128" s="51" t="s">
        <v>267</v>
      </c>
      <c r="H128" s="51" t="s">
        <v>268</v>
      </c>
      <c r="I128" s="51" t="s">
        <v>269</v>
      </c>
      <c r="J128" s="51" t="s">
        <v>270</v>
      </c>
      <c r="K128" s="51" t="s">
        <v>271</v>
      </c>
      <c r="L128" s="51" t="s">
        <v>272</v>
      </c>
      <c r="M128" s="51" t="s">
        <v>61</v>
      </c>
      <c r="N128" s="51" t="s">
        <v>273</v>
      </c>
    </row>
    <row r="129" customFormat="false" ht="16.5" hidden="false" customHeight="true" outlineLevel="0" collapsed="false">
      <c r="A129" s="52" t="n">
        <v>1</v>
      </c>
      <c r="B129" s="53" t="s">
        <v>331</v>
      </c>
      <c r="C129" s="53" t="s">
        <v>304</v>
      </c>
      <c r="D129" s="53" t="s">
        <v>159</v>
      </c>
      <c r="E129" s="59" t="n">
        <v>400</v>
      </c>
      <c r="F129" s="59" t="n">
        <v>400</v>
      </c>
      <c r="G129" s="60" t="n">
        <v>380</v>
      </c>
      <c r="H129" s="57" t="n">
        <f aca="false">IFERROR(E129*G129,"")</f>
        <v>152000</v>
      </c>
      <c r="I129" s="53" t="s">
        <v>321</v>
      </c>
      <c r="J129" s="55" t="n">
        <v>45667</v>
      </c>
      <c r="K129" s="55" t="n">
        <v>45717</v>
      </c>
      <c r="L129" s="55" t="n">
        <v>45728</v>
      </c>
      <c r="M129" s="53" t="s">
        <v>275</v>
      </c>
      <c r="N129" s="53"/>
    </row>
    <row r="130" customFormat="false" ht="16.5" hidden="false" customHeight="true" outlineLevel="0" collapsed="false">
      <c r="A130" s="52" t="n">
        <v>2</v>
      </c>
      <c r="B130" s="53" t="s">
        <v>332</v>
      </c>
      <c r="C130" s="53" t="s">
        <v>305</v>
      </c>
      <c r="D130" s="53" t="s">
        <v>159</v>
      </c>
      <c r="E130" s="59" t="n">
        <v>150</v>
      </c>
      <c r="F130" s="59" t="n">
        <v>150</v>
      </c>
      <c r="G130" s="60" t="n">
        <v>520</v>
      </c>
      <c r="H130" s="57" t="n">
        <f aca="false">IFERROR(E130*G130,"")</f>
        <v>78000</v>
      </c>
      <c r="I130" s="53" t="s">
        <v>323</v>
      </c>
      <c r="J130" s="55" t="n">
        <v>45677</v>
      </c>
      <c r="K130" s="55" t="n">
        <v>45736</v>
      </c>
      <c r="L130" s="55" t="n">
        <v>45741</v>
      </c>
      <c r="M130" s="53" t="s">
        <v>275</v>
      </c>
      <c r="N130" s="53"/>
    </row>
    <row r="131" customFormat="false" ht="16.5" hidden="false" customHeight="true" outlineLevel="0" collapsed="false">
      <c r="A131" s="52" t="n">
        <v>3</v>
      </c>
      <c r="B131" s="53" t="s">
        <v>333</v>
      </c>
      <c r="C131" s="53" t="s">
        <v>306</v>
      </c>
      <c r="D131" s="53" t="s">
        <v>159</v>
      </c>
      <c r="E131" s="59" t="n">
        <v>30</v>
      </c>
      <c r="F131" s="59" t="n">
        <v>30</v>
      </c>
      <c r="G131" s="60" t="n">
        <v>1200</v>
      </c>
      <c r="H131" s="57" t="n">
        <f aca="false">IFERROR(E131*G131,"")</f>
        <v>36000</v>
      </c>
      <c r="I131" s="53" t="s">
        <v>323</v>
      </c>
      <c r="J131" s="55" t="n">
        <v>45689</v>
      </c>
      <c r="K131" s="55" t="n">
        <v>45748</v>
      </c>
      <c r="L131" s="55" t="n">
        <v>45755</v>
      </c>
      <c r="M131" s="53" t="s">
        <v>275</v>
      </c>
      <c r="N131" s="53"/>
    </row>
    <row r="132" customFormat="false" ht="16.5" hidden="false" customHeight="true" outlineLevel="0" collapsed="false">
      <c r="A132" s="52" t="n">
        <v>4</v>
      </c>
      <c r="B132" s="53" t="s">
        <v>334</v>
      </c>
      <c r="C132" s="53" t="s">
        <v>142</v>
      </c>
      <c r="D132" s="53" t="s">
        <v>159</v>
      </c>
      <c r="E132" s="59" t="n">
        <v>90</v>
      </c>
      <c r="F132" s="59" t="n">
        <v>0</v>
      </c>
      <c r="G132" s="60" t="n">
        <v>840</v>
      </c>
      <c r="H132" s="57" t="n">
        <f aca="false">IFERROR(E132*G132,"")</f>
        <v>75600</v>
      </c>
      <c r="I132" s="53" t="s">
        <v>328</v>
      </c>
      <c r="J132" s="55" t="n">
        <v>45731</v>
      </c>
      <c r="K132" s="55" t="n">
        <v>45809</v>
      </c>
      <c r="L132" s="55"/>
      <c r="M132" s="53" t="s">
        <v>290</v>
      </c>
      <c r="N132" s="53"/>
    </row>
    <row r="133" customFormat="false" ht="16.5" hidden="false" customHeight="true" outlineLevel="0" collapsed="false">
      <c r="A133" s="52" t="n">
        <v>5</v>
      </c>
      <c r="B133" s="53" t="s">
        <v>335</v>
      </c>
      <c r="C133" s="53" t="s">
        <v>336</v>
      </c>
      <c r="D133" s="53" t="s">
        <v>159</v>
      </c>
      <c r="E133" s="59" t="n">
        <v>380</v>
      </c>
      <c r="F133" s="59" t="n">
        <v>0</v>
      </c>
      <c r="G133" s="60" t="n">
        <v>385</v>
      </c>
      <c r="H133" s="57" t="n">
        <f aca="false">IFERROR(E133*G133,"")</f>
        <v>146300</v>
      </c>
      <c r="I133" s="53" t="s">
        <v>321</v>
      </c>
      <c r="J133" s="55" t="n">
        <v>45748</v>
      </c>
      <c r="K133" s="55" t="n">
        <v>45839</v>
      </c>
      <c r="L133" s="55"/>
      <c r="M133" s="53" t="s">
        <v>290</v>
      </c>
      <c r="N133" s="53"/>
    </row>
    <row r="134" customFormat="false" ht="16.5" hidden="false" customHeight="true" outlineLevel="0" collapsed="false">
      <c r="A134" s="52" t="n">
        <v>6</v>
      </c>
      <c r="B134" s="53" t="s">
        <v>337</v>
      </c>
      <c r="C134" s="53" t="s">
        <v>140</v>
      </c>
      <c r="D134" s="53" t="s">
        <v>159</v>
      </c>
      <c r="E134" s="59" t="n">
        <v>40</v>
      </c>
      <c r="F134" s="59" t="n">
        <v>0</v>
      </c>
      <c r="G134" s="60" t="n">
        <v>210</v>
      </c>
      <c r="H134" s="57" t="n">
        <f aca="false">IFERROR(E134*G134,"")</f>
        <v>8400</v>
      </c>
      <c r="I134" s="53" t="s">
        <v>321</v>
      </c>
      <c r="J134" s="55" t="n">
        <v>45778</v>
      </c>
      <c r="K134" s="55" t="n">
        <v>45870</v>
      </c>
      <c r="L134" s="55"/>
      <c r="M134" s="53" t="s">
        <v>295</v>
      </c>
      <c r="N134" s="53"/>
    </row>
    <row r="135" customFormat="false" ht="16.5" hidden="false" customHeight="true" outlineLevel="0" collapsed="false">
      <c r="A135" s="52" t="n">
        <v>7</v>
      </c>
      <c r="B135" s="53" t="s">
        <v>338</v>
      </c>
      <c r="C135" s="53" t="s">
        <v>339</v>
      </c>
      <c r="D135" s="53" t="s">
        <v>159</v>
      </c>
      <c r="E135" s="59" t="n">
        <v>140</v>
      </c>
      <c r="F135" s="59" t="n">
        <v>0</v>
      </c>
      <c r="G135" s="60" t="n">
        <v>530</v>
      </c>
      <c r="H135" s="57" t="n">
        <f aca="false">IFERROR(E135*G135,"")</f>
        <v>74200</v>
      </c>
      <c r="I135" s="53" t="s">
        <v>323</v>
      </c>
      <c r="J135" s="55" t="n">
        <v>45792</v>
      </c>
      <c r="K135" s="55" t="n">
        <v>45884</v>
      </c>
      <c r="L135" s="55"/>
      <c r="M135" s="53" t="s">
        <v>295</v>
      </c>
      <c r="N135" s="53"/>
    </row>
    <row r="136" customFormat="false" ht="16.5" hidden="false" customHeight="true" outlineLevel="0" collapsed="false">
      <c r="A136" s="52" t="n">
        <v>8</v>
      </c>
      <c r="B136" s="53" t="s">
        <v>340</v>
      </c>
      <c r="C136" s="53" t="s">
        <v>341</v>
      </c>
      <c r="D136" s="53" t="s">
        <v>159</v>
      </c>
      <c r="E136" s="59" t="n">
        <v>28</v>
      </c>
      <c r="F136" s="59" t="n">
        <v>0</v>
      </c>
      <c r="G136" s="60" t="n">
        <v>1210</v>
      </c>
      <c r="H136" s="57" t="n">
        <f aca="false">IFERROR(E136*G136,"")</f>
        <v>33880</v>
      </c>
      <c r="I136" s="53" t="s">
        <v>323</v>
      </c>
      <c r="J136" s="55" t="n">
        <v>45809</v>
      </c>
      <c r="K136" s="55" t="n">
        <v>45901</v>
      </c>
      <c r="L136" s="55"/>
      <c r="M136" s="53" t="s">
        <v>295</v>
      </c>
      <c r="N136" s="53"/>
    </row>
    <row r="137" customFormat="false" ht="16.5" hidden="false" customHeight="true" outlineLevel="0" collapsed="false">
      <c r="A137" s="52" t="n">
        <v>9</v>
      </c>
      <c r="B137" s="53"/>
      <c r="C137" s="53"/>
      <c r="D137" s="53"/>
      <c r="E137" s="59"/>
      <c r="F137" s="59"/>
      <c r="G137" s="60"/>
      <c r="H137" s="57" t="n">
        <f aca="false">IFERROR(E137*G137,"")</f>
        <v>0</v>
      </c>
      <c r="I137" s="53"/>
      <c r="J137" s="55"/>
      <c r="K137" s="55"/>
      <c r="L137" s="55"/>
      <c r="M137" s="53"/>
      <c r="N137" s="53"/>
    </row>
    <row r="138" customFormat="false" ht="16.5" hidden="false" customHeight="true" outlineLevel="0" collapsed="false">
      <c r="A138" s="52" t="n">
        <v>10</v>
      </c>
      <c r="B138" s="53"/>
      <c r="C138" s="53"/>
      <c r="D138" s="53"/>
      <c r="E138" s="59"/>
      <c r="F138" s="59"/>
      <c r="G138" s="60"/>
      <c r="H138" s="57" t="n">
        <f aca="false">IFERROR(E138*G138,"")</f>
        <v>0</v>
      </c>
      <c r="I138" s="53"/>
      <c r="J138" s="55"/>
      <c r="K138" s="55"/>
      <c r="L138" s="55"/>
      <c r="M138" s="53"/>
      <c r="N138" s="53"/>
    </row>
    <row r="139" customFormat="false" ht="16.5" hidden="false" customHeight="true" outlineLevel="0" collapsed="false">
      <c r="A139" s="52" t="n">
        <v>11</v>
      </c>
      <c r="B139" s="53"/>
      <c r="C139" s="53"/>
      <c r="D139" s="53"/>
      <c r="E139" s="59"/>
      <c r="F139" s="59"/>
      <c r="G139" s="60"/>
      <c r="H139" s="57" t="n">
        <f aca="false">IFERROR(E139*G139,"")</f>
        <v>0</v>
      </c>
      <c r="I139" s="53"/>
      <c r="J139" s="55"/>
      <c r="K139" s="55"/>
      <c r="L139" s="55"/>
      <c r="M139" s="53"/>
      <c r="N139" s="53"/>
    </row>
    <row r="140" customFormat="false" ht="16.5" hidden="false" customHeight="true" outlineLevel="0" collapsed="false">
      <c r="A140" s="52" t="n">
        <v>12</v>
      </c>
      <c r="B140" s="53"/>
      <c r="C140" s="53"/>
      <c r="D140" s="53"/>
      <c r="E140" s="59"/>
      <c r="F140" s="59"/>
      <c r="G140" s="60"/>
      <c r="H140" s="57" t="n">
        <f aca="false">IFERROR(E140*G140,"")</f>
        <v>0</v>
      </c>
      <c r="I140" s="53"/>
      <c r="J140" s="55"/>
      <c r="K140" s="55"/>
      <c r="L140" s="55"/>
      <c r="M140" s="53"/>
      <c r="N140" s="53"/>
    </row>
    <row r="141" customFormat="false" ht="16.5" hidden="false" customHeight="true" outlineLevel="0" collapsed="false">
      <c r="A141" s="52" t="n">
        <v>13</v>
      </c>
      <c r="B141" s="53"/>
      <c r="C141" s="53"/>
      <c r="D141" s="53"/>
      <c r="E141" s="59"/>
      <c r="F141" s="59"/>
      <c r="G141" s="60"/>
      <c r="H141" s="57" t="n">
        <f aca="false">IFERROR(E141*G141,"")</f>
        <v>0</v>
      </c>
      <c r="I141" s="53"/>
      <c r="J141" s="55"/>
      <c r="K141" s="55"/>
      <c r="L141" s="55"/>
      <c r="M141" s="53"/>
      <c r="N141" s="53"/>
    </row>
    <row r="142" customFormat="false" ht="16.5" hidden="false" customHeight="true" outlineLevel="0" collapsed="false">
      <c r="A142" s="52" t="n">
        <v>14</v>
      </c>
      <c r="B142" s="53"/>
      <c r="C142" s="53"/>
      <c r="D142" s="53"/>
      <c r="E142" s="59"/>
      <c r="F142" s="59"/>
      <c r="G142" s="60"/>
      <c r="H142" s="57" t="n">
        <f aca="false">IFERROR(E142*G142,"")</f>
        <v>0</v>
      </c>
      <c r="I142" s="53"/>
      <c r="J142" s="55"/>
      <c r="K142" s="55"/>
      <c r="L142" s="55"/>
      <c r="M142" s="53"/>
      <c r="N142" s="53"/>
    </row>
    <row r="143" customFormat="false" ht="16.5" hidden="false" customHeight="true" outlineLevel="0" collapsed="false">
      <c r="A143" s="52" t="n">
        <v>15</v>
      </c>
      <c r="B143" s="53"/>
      <c r="C143" s="53"/>
      <c r="D143" s="53"/>
      <c r="E143" s="59"/>
      <c r="F143" s="59"/>
      <c r="G143" s="60"/>
      <c r="H143" s="57" t="n">
        <f aca="false">IFERROR(E143*G143,"")</f>
        <v>0</v>
      </c>
      <c r="I143" s="53"/>
      <c r="J143" s="55"/>
      <c r="K143" s="55"/>
      <c r="L143" s="55"/>
      <c r="M143" s="53"/>
      <c r="N143" s="53"/>
    </row>
    <row r="144" customFormat="false" ht="16.5" hidden="false" customHeight="true" outlineLevel="0" collapsed="false">
      <c r="A144" s="52" t="n">
        <v>16</v>
      </c>
      <c r="B144" s="53"/>
      <c r="C144" s="53"/>
      <c r="D144" s="53"/>
      <c r="E144" s="59"/>
      <c r="F144" s="59"/>
      <c r="G144" s="60"/>
      <c r="H144" s="57" t="n">
        <f aca="false">IFERROR(E144*G144,"")</f>
        <v>0</v>
      </c>
      <c r="I144" s="53"/>
      <c r="J144" s="55"/>
      <c r="K144" s="55"/>
      <c r="L144" s="55"/>
      <c r="M144" s="53"/>
      <c r="N144" s="53"/>
    </row>
    <row r="145" customFormat="false" ht="16.5" hidden="false" customHeight="true" outlineLevel="0" collapsed="false">
      <c r="A145" s="52" t="n">
        <v>17</v>
      </c>
      <c r="B145" s="53"/>
      <c r="C145" s="53"/>
      <c r="D145" s="53"/>
      <c r="E145" s="59"/>
      <c r="F145" s="59"/>
      <c r="G145" s="60"/>
      <c r="H145" s="57" t="n">
        <f aca="false">IFERROR(E145*G145,"")</f>
        <v>0</v>
      </c>
      <c r="I145" s="53"/>
      <c r="J145" s="55"/>
      <c r="K145" s="55"/>
      <c r="L145" s="55"/>
      <c r="M145" s="53"/>
      <c r="N145" s="53"/>
    </row>
    <row r="146" customFormat="false" ht="16.5" hidden="false" customHeight="true" outlineLevel="0" collapsed="false">
      <c r="A146" s="52" t="n">
        <v>18</v>
      </c>
      <c r="B146" s="53"/>
      <c r="C146" s="53"/>
      <c r="D146" s="53"/>
      <c r="E146" s="59"/>
      <c r="F146" s="59"/>
      <c r="G146" s="60"/>
      <c r="H146" s="57" t="n">
        <f aca="false">IFERROR(E146*G146,"")</f>
        <v>0</v>
      </c>
      <c r="I146" s="53"/>
      <c r="J146" s="55"/>
      <c r="K146" s="55"/>
      <c r="L146" s="55"/>
      <c r="M146" s="53"/>
      <c r="N146" s="53"/>
    </row>
    <row r="147" customFormat="false" ht="16.5" hidden="false" customHeight="true" outlineLevel="0" collapsed="false">
      <c r="A147" s="52" t="n">
        <v>19</v>
      </c>
      <c r="B147" s="53"/>
      <c r="C147" s="53"/>
      <c r="D147" s="53"/>
      <c r="E147" s="59"/>
      <c r="F147" s="59"/>
      <c r="G147" s="60"/>
      <c r="H147" s="57" t="n">
        <f aca="false">IFERROR(E147*G147,"")</f>
        <v>0</v>
      </c>
      <c r="I147" s="53"/>
      <c r="J147" s="55"/>
      <c r="K147" s="55"/>
      <c r="L147" s="55"/>
      <c r="M147" s="53"/>
      <c r="N147" s="53"/>
    </row>
    <row r="148" customFormat="false" ht="16.5" hidden="false" customHeight="true" outlineLevel="0" collapsed="false">
      <c r="A148" s="52" t="n">
        <v>20</v>
      </c>
      <c r="B148" s="53"/>
      <c r="C148" s="53"/>
      <c r="D148" s="53"/>
      <c r="E148" s="59"/>
      <c r="F148" s="59"/>
      <c r="G148" s="60"/>
      <c r="H148" s="57" t="n">
        <f aca="false">IFERROR(E148*G148,"")</f>
        <v>0</v>
      </c>
      <c r="I148" s="53"/>
      <c r="J148" s="55"/>
      <c r="K148" s="55"/>
      <c r="L148" s="55"/>
      <c r="M148" s="53"/>
      <c r="N148" s="53"/>
    </row>
    <row r="149" customFormat="false" ht="16.5" hidden="false" customHeight="true" outlineLevel="0" collapsed="false">
      <c r="A149" s="52" t="n">
        <v>21</v>
      </c>
      <c r="B149" s="53"/>
      <c r="C149" s="53"/>
      <c r="D149" s="53"/>
      <c r="E149" s="59"/>
      <c r="F149" s="59"/>
      <c r="G149" s="60"/>
      <c r="H149" s="57" t="n">
        <f aca="false">IFERROR(E149*G149,"")</f>
        <v>0</v>
      </c>
      <c r="I149" s="53"/>
      <c r="J149" s="55"/>
      <c r="K149" s="55"/>
      <c r="L149" s="55"/>
      <c r="M149" s="53"/>
      <c r="N149" s="53"/>
    </row>
    <row r="150" customFormat="false" ht="16.5" hidden="false" customHeight="true" outlineLevel="0" collapsed="false">
      <c r="A150" s="52" t="n">
        <v>22</v>
      </c>
      <c r="B150" s="53"/>
      <c r="C150" s="53"/>
      <c r="D150" s="53"/>
      <c r="E150" s="59"/>
      <c r="F150" s="59"/>
      <c r="G150" s="60"/>
      <c r="H150" s="57" t="n">
        <f aca="false">IFERROR(E150*G150,"")</f>
        <v>0</v>
      </c>
      <c r="I150" s="53"/>
      <c r="J150" s="55"/>
      <c r="K150" s="55"/>
      <c r="L150" s="55"/>
      <c r="M150" s="53"/>
      <c r="N150" s="53"/>
    </row>
    <row r="151" customFormat="false" ht="16.5" hidden="false" customHeight="true" outlineLevel="0" collapsed="false">
      <c r="A151" s="52" t="n">
        <v>23</v>
      </c>
      <c r="B151" s="53"/>
      <c r="C151" s="53"/>
      <c r="D151" s="53"/>
      <c r="E151" s="59"/>
      <c r="F151" s="59"/>
      <c r="G151" s="60"/>
      <c r="H151" s="57" t="n">
        <f aca="false">IFERROR(E151*G151,"")</f>
        <v>0</v>
      </c>
      <c r="I151" s="53"/>
      <c r="J151" s="55"/>
      <c r="K151" s="55"/>
      <c r="L151" s="55"/>
      <c r="M151" s="53"/>
      <c r="N151" s="53"/>
    </row>
    <row r="152" customFormat="false" ht="16.5" hidden="false" customHeight="true" outlineLevel="0" collapsed="false">
      <c r="A152" s="52" t="n">
        <v>24</v>
      </c>
      <c r="B152" s="53"/>
      <c r="C152" s="53"/>
      <c r="D152" s="53"/>
      <c r="E152" s="59"/>
      <c r="F152" s="59"/>
      <c r="G152" s="60"/>
      <c r="H152" s="57" t="n">
        <f aca="false">IFERROR(E152*G152,"")</f>
        <v>0</v>
      </c>
      <c r="I152" s="53"/>
      <c r="J152" s="55"/>
      <c r="K152" s="55"/>
      <c r="L152" s="55"/>
      <c r="M152" s="53"/>
      <c r="N152" s="53"/>
    </row>
    <row r="153" customFormat="false" ht="16.5" hidden="false" customHeight="true" outlineLevel="0" collapsed="false">
      <c r="A153" s="52" t="n">
        <v>25</v>
      </c>
      <c r="B153" s="53"/>
      <c r="C153" s="53"/>
      <c r="D153" s="53"/>
      <c r="E153" s="59"/>
      <c r="F153" s="59"/>
      <c r="G153" s="60"/>
      <c r="H153" s="57" t="n">
        <f aca="false">IFERROR(E153*G153,"")</f>
        <v>0</v>
      </c>
      <c r="I153" s="53"/>
      <c r="J153" s="55"/>
      <c r="K153" s="55"/>
      <c r="L153" s="55"/>
      <c r="M153" s="53"/>
      <c r="N153" s="53"/>
    </row>
    <row r="154" customFormat="false" ht="16.5" hidden="false" customHeight="true" outlineLevel="0" collapsed="false">
      <c r="A154" s="52" t="n">
        <v>26</v>
      </c>
      <c r="B154" s="53"/>
      <c r="C154" s="53"/>
      <c r="D154" s="53"/>
      <c r="E154" s="59"/>
      <c r="F154" s="59"/>
      <c r="G154" s="60"/>
      <c r="H154" s="57" t="n">
        <f aca="false">IFERROR(E154*G154,"")</f>
        <v>0</v>
      </c>
      <c r="I154" s="53"/>
      <c r="J154" s="55"/>
      <c r="K154" s="55"/>
      <c r="L154" s="55"/>
      <c r="M154" s="53"/>
      <c r="N154" s="53"/>
    </row>
    <row r="155" customFormat="false" ht="16.5" hidden="false" customHeight="true" outlineLevel="0" collapsed="false">
      <c r="A155" s="52" t="n">
        <v>27</v>
      </c>
      <c r="B155" s="53"/>
      <c r="C155" s="53"/>
      <c r="D155" s="53"/>
      <c r="E155" s="59"/>
      <c r="F155" s="59"/>
      <c r="G155" s="60"/>
      <c r="H155" s="57" t="n">
        <f aca="false">IFERROR(E155*G155,"")</f>
        <v>0</v>
      </c>
      <c r="I155" s="53"/>
      <c r="J155" s="55"/>
      <c r="K155" s="55"/>
      <c r="L155" s="55"/>
      <c r="M155" s="53"/>
      <c r="N155" s="53"/>
    </row>
    <row r="156" customFormat="false" ht="16.5" hidden="false" customHeight="true" outlineLevel="0" collapsed="false">
      <c r="A156" s="52" t="n">
        <v>28</v>
      </c>
      <c r="B156" s="53"/>
      <c r="C156" s="53"/>
      <c r="D156" s="53"/>
      <c r="E156" s="59"/>
      <c r="F156" s="59"/>
      <c r="G156" s="60"/>
      <c r="H156" s="57" t="n">
        <f aca="false">IFERROR(E156*G156,"")</f>
        <v>0</v>
      </c>
      <c r="I156" s="53"/>
      <c r="J156" s="55"/>
      <c r="K156" s="55"/>
      <c r="L156" s="55"/>
      <c r="M156" s="53"/>
      <c r="N156" s="53"/>
    </row>
    <row r="157" customFormat="false" ht="16.5" hidden="false" customHeight="true" outlineLevel="0" collapsed="false">
      <c r="A157" s="52" t="n">
        <v>29</v>
      </c>
      <c r="B157" s="53"/>
      <c r="C157" s="53"/>
      <c r="D157" s="53"/>
      <c r="E157" s="59"/>
      <c r="F157" s="59"/>
      <c r="G157" s="60"/>
      <c r="H157" s="57" t="n">
        <f aca="false">IFERROR(E157*G157,"")</f>
        <v>0</v>
      </c>
      <c r="I157" s="53"/>
      <c r="J157" s="55"/>
      <c r="K157" s="55"/>
      <c r="L157" s="55"/>
      <c r="M157" s="53"/>
      <c r="N157" s="53"/>
    </row>
    <row r="158" customFormat="false" ht="16.5" hidden="false" customHeight="true" outlineLevel="0" collapsed="false">
      <c r="A158" s="52" t="n">
        <v>30</v>
      </c>
      <c r="B158" s="53"/>
      <c r="C158" s="53"/>
      <c r="D158" s="53"/>
      <c r="E158" s="59"/>
      <c r="F158" s="59"/>
      <c r="G158" s="60"/>
      <c r="H158" s="57" t="n">
        <f aca="false">IFERROR(E158*G158,"")</f>
        <v>0</v>
      </c>
      <c r="I158" s="53"/>
      <c r="J158" s="55"/>
      <c r="K158" s="55"/>
      <c r="L158" s="55"/>
      <c r="M158" s="53"/>
      <c r="N158" s="53"/>
    </row>
    <row r="159" customFormat="false" ht="16.5" hidden="false" customHeight="true" outlineLevel="0" collapsed="false">
      <c r="A159" s="52" t="n">
        <v>31</v>
      </c>
      <c r="B159" s="53"/>
      <c r="C159" s="53"/>
      <c r="D159" s="53"/>
      <c r="E159" s="59"/>
      <c r="F159" s="59"/>
      <c r="G159" s="60"/>
      <c r="H159" s="57" t="n">
        <f aca="false">IFERROR(E159*G159,"")</f>
        <v>0</v>
      </c>
      <c r="I159" s="53"/>
      <c r="J159" s="55"/>
      <c r="K159" s="55"/>
      <c r="L159" s="55"/>
      <c r="M159" s="53"/>
      <c r="N159" s="53"/>
    </row>
    <row r="160" customFormat="false" ht="16.5" hidden="false" customHeight="true" outlineLevel="0" collapsed="false">
      <c r="A160" s="52" t="n">
        <v>32</v>
      </c>
      <c r="B160" s="53"/>
      <c r="C160" s="53"/>
      <c r="D160" s="53"/>
      <c r="E160" s="59"/>
      <c r="F160" s="59"/>
      <c r="G160" s="60"/>
      <c r="H160" s="57" t="n">
        <f aca="false">IFERROR(E160*G160,"")</f>
        <v>0</v>
      </c>
      <c r="I160" s="53"/>
      <c r="J160" s="55"/>
      <c r="K160" s="55"/>
      <c r="L160" s="55"/>
      <c r="M160" s="53"/>
      <c r="N160" s="53"/>
    </row>
    <row r="161" customFormat="false" ht="16.5" hidden="false" customHeight="true" outlineLevel="0" collapsed="false">
      <c r="A161" s="52" t="n">
        <v>33</v>
      </c>
      <c r="B161" s="53"/>
      <c r="C161" s="53"/>
      <c r="D161" s="53"/>
      <c r="E161" s="59"/>
      <c r="F161" s="59"/>
      <c r="G161" s="60"/>
      <c r="H161" s="57" t="n">
        <f aca="false">IFERROR(E161*G161,"")</f>
        <v>0</v>
      </c>
      <c r="I161" s="53"/>
      <c r="J161" s="55"/>
      <c r="K161" s="55"/>
      <c r="L161" s="55"/>
      <c r="M161" s="53"/>
      <c r="N161" s="53"/>
    </row>
    <row r="162" customFormat="false" ht="16.5" hidden="false" customHeight="true" outlineLevel="0" collapsed="false">
      <c r="A162" s="52" t="n">
        <v>34</v>
      </c>
      <c r="B162" s="53"/>
      <c r="C162" s="53"/>
      <c r="D162" s="53"/>
      <c r="E162" s="59"/>
      <c r="F162" s="59"/>
      <c r="G162" s="60"/>
      <c r="H162" s="57" t="n">
        <f aca="false">IFERROR(E162*G162,"")</f>
        <v>0</v>
      </c>
      <c r="I162" s="53"/>
      <c r="J162" s="55"/>
      <c r="K162" s="55"/>
      <c r="L162" s="55"/>
      <c r="M162" s="53"/>
      <c r="N162" s="53"/>
    </row>
    <row r="163" customFormat="false" ht="16.5" hidden="false" customHeight="true" outlineLevel="0" collapsed="false">
      <c r="A163" s="52" t="n">
        <v>35</v>
      </c>
      <c r="B163" s="53"/>
      <c r="C163" s="53"/>
      <c r="D163" s="53"/>
      <c r="E163" s="59"/>
      <c r="F163" s="59"/>
      <c r="G163" s="60"/>
      <c r="H163" s="57" t="n">
        <f aca="false">IFERROR(E163*G163,"")</f>
        <v>0</v>
      </c>
      <c r="I163" s="53"/>
      <c r="J163" s="55"/>
      <c r="K163" s="55"/>
      <c r="L163" s="55"/>
      <c r="M163" s="53"/>
      <c r="N163" s="53"/>
    </row>
    <row r="164" customFormat="false" ht="16.5" hidden="false" customHeight="true" outlineLevel="0" collapsed="false">
      <c r="A164" s="52" t="n">
        <v>36</v>
      </c>
      <c r="B164" s="53"/>
      <c r="C164" s="53"/>
      <c r="D164" s="53"/>
      <c r="E164" s="59"/>
      <c r="F164" s="59"/>
      <c r="G164" s="60"/>
      <c r="H164" s="57" t="n">
        <f aca="false">IFERROR(E164*G164,"")</f>
        <v>0</v>
      </c>
      <c r="I164" s="53"/>
      <c r="J164" s="55"/>
      <c r="K164" s="55"/>
      <c r="L164" s="55"/>
      <c r="M164" s="53"/>
      <c r="N164" s="53"/>
    </row>
    <row r="165" customFormat="false" ht="16.5" hidden="false" customHeight="true" outlineLevel="0" collapsed="false">
      <c r="A165" s="52" t="n">
        <v>37</v>
      </c>
      <c r="B165" s="53"/>
      <c r="C165" s="53"/>
      <c r="D165" s="53"/>
      <c r="E165" s="59"/>
      <c r="F165" s="59"/>
      <c r="G165" s="60"/>
      <c r="H165" s="57" t="n">
        <f aca="false">IFERROR(E165*G165,"")</f>
        <v>0</v>
      </c>
      <c r="I165" s="53"/>
      <c r="J165" s="55"/>
      <c r="K165" s="55"/>
      <c r="L165" s="55"/>
      <c r="M165" s="53"/>
      <c r="N165" s="53"/>
    </row>
    <row r="166" customFormat="false" ht="16.5" hidden="false" customHeight="true" outlineLevel="0" collapsed="false">
      <c r="A166" s="52" t="n">
        <v>38</v>
      </c>
      <c r="B166" s="53"/>
      <c r="C166" s="53"/>
      <c r="D166" s="53"/>
      <c r="E166" s="59"/>
      <c r="F166" s="59"/>
      <c r="G166" s="60"/>
      <c r="H166" s="57" t="n">
        <f aca="false">IFERROR(E166*G166,"")</f>
        <v>0</v>
      </c>
      <c r="I166" s="53"/>
      <c r="J166" s="55"/>
      <c r="K166" s="55"/>
      <c r="L166" s="55"/>
      <c r="M166" s="53"/>
      <c r="N166" s="53"/>
    </row>
    <row r="167" customFormat="false" ht="16.5" hidden="false" customHeight="true" outlineLevel="0" collapsed="false">
      <c r="A167" s="52" t="n">
        <v>39</v>
      </c>
      <c r="B167" s="53"/>
      <c r="C167" s="53"/>
      <c r="D167" s="53"/>
      <c r="E167" s="59"/>
      <c r="F167" s="59"/>
      <c r="G167" s="60"/>
      <c r="H167" s="57" t="n">
        <f aca="false">IFERROR(E167*G167,"")</f>
        <v>0</v>
      </c>
      <c r="I167" s="53"/>
      <c r="J167" s="55"/>
      <c r="K167" s="55"/>
      <c r="L167" s="55"/>
      <c r="M167" s="53"/>
      <c r="N167" s="53"/>
    </row>
    <row r="168" customFormat="false" ht="16.5" hidden="false" customHeight="true" outlineLevel="0" collapsed="false">
      <c r="A168" s="52" t="n">
        <v>40</v>
      </c>
      <c r="B168" s="53"/>
      <c r="C168" s="53"/>
      <c r="D168" s="53"/>
      <c r="E168" s="59"/>
      <c r="F168" s="59"/>
      <c r="G168" s="60"/>
      <c r="H168" s="57" t="n">
        <f aca="false">IFERROR(E168*G168,"")</f>
        <v>0</v>
      </c>
      <c r="I168" s="53"/>
      <c r="J168" s="55"/>
      <c r="K168" s="55"/>
      <c r="L168" s="55"/>
      <c r="M168" s="53"/>
      <c r="N168" s="53"/>
    </row>
    <row r="169" customFormat="false" ht="16.5" hidden="false" customHeight="true" outlineLevel="0" collapsed="false">
      <c r="A169" s="52" t="n">
        <v>41</v>
      </c>
      <c r="B169" s="53"/>
      <c r="C169" s="53"/>
      <c r="D169" s="53"/>
      <c r="E169" s="59"/>
      <c r="F169" s="59"/>
      <c r="G169" s="60"/>
      <c r="H169" s="57" t="n">
        <f aca="false">IFERROR(E169*G169,"")</f>
        <v>0</v>
      </c>
      <c r="I169" s="53"/>
      <c r="J169" s="55"/>
      <c r="K169" s="55"/>
      <c r="L169" s="55"/>
      <c r="M169" s="53"/>
      <c r="N169" s="53"/>
    </row>
    <row r="170" customFormat="false" ht="16.5" hidden="false" customHeight="true" outlineLevel="0" collapsed="false">
      <c r="A170" s="52" t="n">
        <v>42</v>
      </c>
      <c r="B170" s="53"/>
      <c r="C170" s="53"/>
      <c r="D170" s="53"/>
      <c r="E170" s="59"/>
      <c r="F170" s="59"/>
      <c r="G170" s="60"/>
      <c r="H170" s="57" t="n">
        <f aca="false">IFERROR(E170*G170,"")</f>
        <v>0</v>
      </c>
      <c r="I170" s="53"/>
      <c r="J170" s="55"/>
      <c r="K170" s="55"/>
      <c r="L170" s="55"/>
      <c r="M170" s="53"/>
      <c r="N170" s="53"/>
    </row>
    <row r="171" customFormat="false" ht="16.5" hidden="false" customHeight="true" outlineLevel="0" collapsed="false">
      <c r="A171" s="52" t="n">
        <v>43</v>
      </c>
      <c r="B171" s="53"/>
      <c r="C171" s="53"/>
      <c r="D171" s="53"/>
      <c r="E171" s="59"/>
      <c r="F171" s="59"/>
      <c r="G171" s="60"/>
      <c r="H171" s="57" t="n">
        <f aca="false">IFERROR(E171*G171,"")</f>
        <v>0</v>
      </c>
      <c r="I171" s="53"/>
      <c r="J171" s="55"/>
      <c r="K171" s="55"/>
      <c r="L171" s="55"/>
      <c r="M171" s="53"/>
      <c r="N171" s="53"/>
    </row>
    <row r="172" customFormat="false" ht="16.5" hidden="false" customHeight="true" outlineLevel="0" collapsed="false">
      <c r="A172" s="52" t="n">
        <v>44</v>
      </c>
      <c r="B172" s="53"/>
      <c r="C172" s="53"/>
      <c r="D172" s="53"/>
      <c r="E172" s="59"/>
      <c r="F172" s="59"/>
      <c r="G172" s="60"/>
      <c r="H172" s="57" t="n">
        <f aca="false">IFERROR(E172*G172,"")</f>
        <v>0</v>
      </c>
      <c r="I172" s="53"/>
      <c r="J172" s="55"/>
      <c r="K172" s="55"/>
      <c r="L172" s="55"/>
      <c r="M172" s="53"/>
      <c r="N172" s="53"/>
    </row>
    <row r="173" customFormat="false" ht="16.5" hidden="false" customHeight="true" outlineLevel="0" collapsed="false">
      <c r="A173" s="52" t="n">
        <v>45</v>
      </c>
      <c r="B173" s="53"/>
      <c r="C173" s="53"/>
      <c r="D173" s="53"/>
      <c r="E173" s="59"/>
      <c r="F173" s="59"/>
      <c r="G173" s="60"/>
      <c r="H173" s="57" t="n">
        <f aca="false">IFERROR(E173*G173,"")</f>
        <v>0</v>
      </c>
      <c r="I173" s="53"/>
      <c r="J173" s="55"/>
      <c r="K173" s="55"/>
      <c r="L173" s="55"/>
      <c r="M173" s="53"/>
      <c r="N173" s="53"/>
    </row>
    <row r="174" customFormat="false" ht="16.5" hidden="false" customHeight="true" outlineLevel="0" collapsed="false">
      <c r="A174" s="52" t="n">
        <v>46</v>
      </c>
      <c r="B174" s="53"/>
      <c r="C174" s="53"/>
      <c r="D174" s="53"/>
      <c r="E174" s="59"/>
      <c r="F174" s="59"/>
      <c r="G174" s="60"/>
      <c r="H174" s="57" t="n">
        <f aca="false">IFERROR(E174*G174,"")</f>
        <v>0</v>
      </c>
      <c r="I174" s="53"/>
      <c r="J174" s="55"/>
      <c r="K174" s="55"/>
      <c r="L174" s="55"/>
      <c r="M174" s="53"/>
      <c r="N174" s="53"/>
    </row>
    <row r="175" customFormat="false" ht="16.5" hidden="false" customHeight="true" outlineLevel="0" collapsed="false">
      <c r="A175" s="52" t="n">
        <v>47</v>
      </c>
      <c r="B175" s="53"/>
      <c r="C175" s="53"/>
      <c r="D175" s="53"/>
      <c r="E175" s="59"/>
      <c r="F175" s="59"/>
      <c r="G175" s="60"/>
      <c r="H175" s="57" t="n">
        <f aca="false">IFERROR(E175*G175,"")</f>
        <v>0</v>
      </c>
      <c r="I175" s="53"/>
      <c r="J175" s="55"/>
      <c r="K175" s="55"/>
      <c r="L175" s="55"/>
      <c r="M175" s="53"/>
      <c r="N175" s="53"/>
    </row>
    <row r="176" customFormat="false" ht="16.5" hidden="false" customHeight="true" outlineLevel="0" collapsed="false">
      <c r="A176" s="52" t="n">
        <v>48</v>
      </c>
      <c r="B176" s="53"/>
      <c r="C176" s="53"/>
      <c r="D176" s="53"/>
      <c r="E176" s="59"/>
      <c r="F176" s="59"/>
      <c r="G176" s="60"/>
      <c r="H176" s="57" t="n">
        <f aca="false">IFERROR(E176*G176,"")</f>
        <v>0</v>
      </c>
      <c r="I176" s="53"/>
      <c r="J176" s="55"/>
      <c r="K176" s="55"/>
      <c r="L176" s="55"/>
      <c r="M176" s="53"/>
      <c r="N176" s="53"/>
    </row>
    <row r="177" customFormat="false" ht="16.5" hidden="false" customHeight="true" outlineLevel="0" collapsed="false">
      <c r="A177" s="52" t="n">
        <v>49</v>
      </c>
      <c r="B177" s="53"/>
      <c r="C177" s="53"/>
      <c r="D177" s="53"/>
      <c r="E177" s="59"/>
      <c r="F177" s="59"/>
      <c r="G177" s="60"/>
      <c r="H177" s="57" t="n">
        <f aca="false">IFERROR(E177*G177,"")</f>
        <v>0</v>
      </c>
      <c r="I177" s="53"/>
      <c r="J177" s="55"/>
      <c r="K177" s="55"/>
      <c r="L177" s="55"/>
      <c r="M177" s="53"/>
      <c r="N177" s="53"/>
    </row>
    <row r="178" customFormat="false" ht="16.5" hidden="false" customHeight="true" outlineLevel="0" collapsed="false">
      <c r="A178" s="52" t="n">
        <v>50</v>
      </c>
      <c r="B178" s="53"/>
      <c r="C178" s="53"/>
      <c r="D178" s="53"/>
      <c r="E178" s="59"/>
      <c r="F178" s="59"/>
      <c r="G178" s="60"/>
      <c r="H178" s="57" t="n">
        <f aca="false">IFERROR(E178*G178,"")</f>
        <v>0</v>
      </c>
      <c r="I178" s="53"/>
      <c r="J178" s="55"/>
      <c r="K178" s="55"/>
      <c r="L178" s="55"/>
      <c r="M178" s="53"/>
      <c r="N178" s="53"/>
    </row>
    <row r="179" customFormat="false" ht="15" hidden="false" customHeight="true" outlineLevel="0" collapsed="false">
      <c r="A179" s="56" t="s">
        <v>260</v>
      </c>
      <c r="B179" s="56"/>
      <c r="C179" s="56"/>
      <c r="D179" s="56"/>
      <c r="E179" s="61" t="n">
        <f aca="false">IFERROR(SUM(E129:E178),0)</f>
        <v>1258</v>
      </c>
      <c r="F179" s="61" t="n">
        <f aca="false">IFERROR(SUM(F129:F178),0)</f>
        <v>580</v>
      </c>
      <c r="G179" s="62" t="s">
        <v>298</v>
      </c>
      <c r="H179" s="57" t="n">
        <f aca="false">IFERROR(SUM(H129:H178),0)</f>
        <v>604380</v>
      </c>
    </row>
    <row r="180" customFormat="false" ht="19.5" hidden="false" customHeight="true" outlineLevel="0" collapsed="false">
      <c r="A180" s="27" t="s">
        <v>299</v>
      </c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</row>
  </sheetData>
  <mergeCells count="16">
    <mergeCell ref="A1:D1"/>
    <mergeCell ref="A2:D2"/>
    <mergeCell ref="A5:D5"/>
    <mergeCell ref="A24:D24"/>
    <mergeCell ref="A34:D34"/>
    <mergeCell ref="A43:D43"/>
    <mergeCell ref="A54:D54"/>
    <mergeCell ref="A68:D68"/>
    <mergeCell ref="A74:D74"/>
    <mergeCell ref="A85:D85"/>
    <mergeCell ref="A86:D86"/>
    <mergeCell ref="A89:I89"/>
    <mergeCell ref="A126:E126"/>
    <mergeCell ref="A127:E127"/>
    <mergeCell ref="A179:D179"/>
    <mergeCell ref="A180:N180"/>
  </mergeCells>
  <dataValidations count="181">
    <dataValidation allowBlank="true" error="Select a valid option from the list." errorStyle="stop" errorTitle="Invalid Input" operator="between" showDropDown="false" showErrorMessage="true" showInputMessage="false" sqref="B6" type="list">
      <formula1>"On Track,At Risk,Delayed,Not Started,Completed"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70" type="list">
      <formula1>"Low,Medium,High,Critical"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71" type="list">
      <formula1>"Green,Amber,Red"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76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77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78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79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80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81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82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83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1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1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2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2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3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3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4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4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5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5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6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6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7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7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8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8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9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9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0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0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1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1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2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2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3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3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4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4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5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5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6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6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7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7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8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8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9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9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0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0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1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1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2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2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3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3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4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4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5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5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6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6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7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7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8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8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9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9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20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20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21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21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22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22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23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23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24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24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25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25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29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29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0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0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1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1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2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2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3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3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4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4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5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5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6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6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7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7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8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8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9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9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0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0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1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1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2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2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3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3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4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4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5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5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6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6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7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7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8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8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9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9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0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0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1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1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2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2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3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3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4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4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5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5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6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6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7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7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8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8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9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9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0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0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1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1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2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2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3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3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4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4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5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5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6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6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7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7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8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8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9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9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0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0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1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1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2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2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3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3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4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4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5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5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6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6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7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7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8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8" type="list">
      <formula1>"Pending,Confirmed,In Production,Shipped,Delivered,On Hold,Cancelled"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4"/>
    <col collapsed="false" customWidth="true" hidden="false" outlineLevel="0" max="3" min="3" style="1" width="10"/>
    <col collapsed="false" customWidth="true" hidden="false" outlineLevel="0" max="4" min="4" style="1" width="38"/>
    <col collapsed="false" customWidth="true" hidden="false" outlineLevel="0" max="5" min="5" style="1" width="20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8"/>
    <col collapsed="false" customWidth="true" hidden="false" outlineLevel="0" max="9" min="9" style="1" width="20"/>
    <col collapsed="false" customWidth="true" hidden="false" outlineLevel="0" max="10" min="10" style="1" width="13"/>
    <col collapsed="false" customWidth="true" hidden="false" outlineLevel="0" max="12" min="11" style="1" width="14"/>
    <col collapsed="false" customWidth="true" hidden="false" outlineLevel="0" max="13" min="13" style="1" width="16"/>
    <col collapsed="false" customWidth="true" hidden="false" outlineLevel="0" max="14" min="14" style="1" width="26"/>
  </cols>
  <sheetData>
    <row r="1" customFormat="false" ht="21.75" hidden="false" customHeight="true" outlineLevel="0" collapsed="false">
      <c r="A1" s="2" t="s">
        <v>342</v>
      </c>
      <c r="B1" s="2"/>
      <c r="C1" s="2"/>
      <c r="D1" s="2"/>
    </row>
    <row r="2" customFormat="false" ht="16.5" hidden="false" customHeight="true" outlineLevel="0" collapsed="false">
      <c r="A2" s="3" t="s">
        <v>87</v>
      </c>
      <c r="B2" s="3"/>
      <c r="C2" s="3"/>
      <c r="D2" s="3"/>
    </row>
    <row r="3" customFormat="false" ht="16.5" hidden="false" customHeight="true" outlineLevel="0" collapsed="false">
      <c r="A3" s="28" t="s">
        <v>88</v>
      </c>
      <c r="B3" s="29"/>
      <c r="C3" s="30" t="s">
        <v>89</v>
      </c>
      <c r="D3" s="31"/>
    </row>
    <row r="4" customFormat="false" ht="4.5" hidden="false" customHeight="true" outlineLevel="0" collapsed="false"/>
    <row r="5" customFormat="false" ht="19.5" hidden="false" customHeight="true" outlineLevel="0" collapsed="false">
      <c r="A5" s="32" t="s">
        <v>90</v>
      </c>
      <c r="B5" s="32"/>
      <c r="C5" s="32"/>
      <c r="D5" s="32"/>
    </row>
    <row r="6" customFormat="false" ht="18" hidden="false" customHeight="true" outlineLevel="0" collapsed="false">
      <c r="A6" s="33" t="s">
        <v>91</v>
      </c>
      <c r="B6" s="34"/>
      <c r="C6" s="35"/>
      <c r="D6" s="36" t="s">
        <v>93</v>
      </c>
    </row>
    <row r="7" customFormat="false" ht="18" hidden="false" customHeight="true" outlineLevel="0" collapsed="false">
      <c r="A7" s="37" t="s">
        <v>94</v>
      </c>
      <c r="B7" s="38"/>
      <c r="C7" s="35" t="s">
        <v>95</v>
      </c>
      <c r="D7" s="36" t="s">
        <v>96</v>
      </c>
    </row>
    <row r="8" customFormat="false" ht="18" hidden="false" customHeight="true" outlineLevel="0" collapsed="false">
      <c r="A8" s="33" t="s">
        <v>97</v>
      </c>
      <c r="B8" s="39" t="n">
        <f aca="false">IFERROR(SUMIF(H91:H125,"Spent",F91:F125),0)</f>
        <v>0</v>
      </c>
      <c r="C8" s="35" t="s">
        <v>95</v>
      </c>
      <c r="D8" s="36" t="s">
        <v>98</v>
      </c>
    </row>
    <row r="9" customFormat="false" ht="18" hidden="false" customHeight="true" outlineLevel="0" collapsed="false">
      <c r="A9" s="37" t="s">
        <v>99</v>
      </c>
      <c r="B9" s="39" t="n">
        <f aca="false">IFERROR(SUMIF(H91:H125,"Committed",F91:F125),0)</f>
        <v>0</v>
      </c>
      <c r="C9" s="35" t="s">
        <v>95</v>
      </c>
      <c r="D9" s="36" t="s">
        <v>98</v>
      </c>
    </row>
    <row r="10" customFormat="false" ht="18" hidden="false" customHeight="true" outlineLevel="0" collapsed="false">
      <c r="A10" s="33" t="s">
        <v>100</v>
      </c>
      <c r="B10" s="40" t="n">
        <f aca="false">IFERROR(B7-B8-B9,"")</f>
        <v>0</v>
      </c>
      <c r="C10" s="35" t="s">
        <v>95</v>
      </c>
      <c r="D10" s="36" t="s">
        <v>101</v>
      </c>
    </row>
    <row r="11" customFormat="false" ht="18" hidden="false" customHeight="true" outlineLevel="0" collapsed="false">
      <c r="A11" s="37" t="s">
        <v>102</v>
      </c>
      <c r="B11" s="41" t="str">
        <f aca="false">IFERROR(B8/B7,"")</f>
        <v/>
      </c>
      <c r="C11" s="35" t="s">
        <v>103</v>
      </c>
      <c r="D11" s="36" t="s">
        <v>104</v>
      </c>
    </row>
    <row r="12" customFormat="false" ht="18" hidden="false" customHeight="true" outlineLevel="0" collapsed="false">
      <c r="A12" s="33" t="s">
        <v>105</v>
      </c>
      <c r="B12" s="42"/>
      <c r="C12" s="35" t="s">
        <v>106</v>
      </c>
      <c r="D12" s="36" t="s">
        <v>107</v>
      </c>
    </row>
    <row r="13" customFormat="false" ht="18" hidden="false" customHeight="true" outlineLevel="0" collapsed="false">
      <c r="A13" s="37" t="s">
        <v>108</v>
      </c>
      <c r="B13" s="42"/>
      <c r="C13" s="35" t="s">
        <v>106</v>
      </c>
      <c r="D13" s="36" t="s">
        <v>109</v>
      </c>
    </row>
    <row r="14" customFormat="false" ht="18" hidden="false" customHeight="true" outlineLevel="0" collapsed="false">
      <c r="A14" s="33" t="s">
        <v>110</v>
      </c>
      <c r="B14" s="41" t="str">
        <f aca="false">IFERROR(B13/B12,"")</f>
        <v/>
      </c>
      <c r="C14" s="35" t="s">
        <v>103</v>
      </c>
      <c r="D14" s="36" t="s">
        <v>104</v>
      </c>
    </row>
    <row r="15" customFormat="false" ht="18" hidden="false" customHeight="true" outlineLevel="0" collapsed="false">
      <c r="A15" s="37" t="s">
        <v>111</v>
      </c>
      <c r="B15" s="31"/>
      <c r="C15" s="35" t="s">
        <v>112</v>
      </c>
      <c r="D15" s="36" t="s">
        <v>113</v>
      </c>
    </row>
    <row r="16" customFormat="false" ht="18" hidden="false" customHeight="true" outlineLevel="0" collapsed="false">
      <c r="A16" s="33" t="s">
        <v>114</v>
      </c>
      <c r="B16" s="31"/>
      <c r="C16" s="35" t="s">
        <v>112</v>
      </c>
      <c r="D16" s="36" t="s">
        <v>115</v>
      </c>
    </row>
    <row r="17" customFormat="false" ht="18" hidden="false" customHeight="true" outlineLevel="0" collapsed="false">
      <c r="A17" s="37" t="s">
        <v>116</v>
      </c>
      <c r="B17" s="41" t="str">
        <f aca="false">IFERROR(B16/B15,"")</f>
        <v/>
      </c>
      <c r="C17" s="35" t="s">
        <v>103</v>
      </c>
      <c r="D17" s="36" t="s">
        <v>104</v>
      </c>
    </row>
    <row r="18" customFormat="false" ht="18" hidden="false" customHeight="true" outlineLevel="0" collapsed="false">
      <c r="A18" s="33" t="s">
        <v>117</v>
      </c>
      <c r="B18" s="29"/>
      <c r="C18" s="35" t="s">
        <v>118</v>
      </c>
      <c r="D18" s="36" t="s">
        <v>119</v>
      </c>
    </row>
    <row r="19" customFormat="false" ht="18" hidden="false" customHeight="true" outlineLevel="0" collapsed="false">
      <c r="A19" s="37" t="s">
        <v>120</v>
      </c>
      <c r="B19" s="29"/>
      <c r="C19" s="35" t="s">
        <v>118</v>
      </c>
      <c r="D19" s="36" t="s">
        <v>121</v>
      </c>
    </row>
    <row r="20" customFormat="false" ht="18" hidden="false" customHeight="true" outlineLevel="0" collapsed="false">
      <c r="A20" s="33" t="s">
        <v>122</v>
      </c>
      <c r="B20" s="29"/>
      <c r="C20" s="35" t="s">
        <v>118</v>
      </c>
      <c r="D20" s="36" t="s">
        <v>123</v>
      </c>
    </row>
    <row r="21" customFormat="false" ht="18" hidden="false" customHeight="true" outlineLevel="0" collapsed="false">
      <c r="A21" s="37" t="s">
        <v>124</v>
      </c>
      <c r="B21" s="31"/>
      <c r="C21" s="35"/>
      <c r="D21" s="36" t="s">
        <v>126</v>
      </c>
    </row>
    <row r="22" customFormat="false" ht="18" hidden="false" customHeight="true" outlineLevel="0" collapsed="false">
      <c r="A22" s="33" t="s">
        <v>127</v>
      </c>
      <c r="B22" s="31"/>
      <c r="C22" s="35"/>
      <c r="D22" s="36" t="s">
        <v>129</v>
      </c>
    </row>
    <row r="23" customFormat="false" ht="4.5" hidden="false" customHeight="true" outlineLevel="0" collapsed="false"/>
    <row r="24" customFormat="false" ht="19.5" hidden="false" customHeight="true" outlineLevel="0" collapsed="false">
      <c r="A24" s="32" t="s">
        <v>130</v>
      </c>
      <c r="B24" s="32"/>
      <c r="C24" s="32"/>
      <c r="D24" s="32"/>
    </row>
    <row r="25" customFormat="false" ht="16.5" hidden="false" customHeight="true" outlineLevel="0" collapsed="false">
      <c r="A25" s="37" t="s">
        <v>131</v>
      </c>
      <c r="B25" s="31"/>
      <c r="C25" s="35" t="s">
        <v>133</v>
      </c>
      <c r="D25" s="36" t="s">
        <v>134</v>
      </c>
    </row>
    <row r="26" customFormat="false" ht="16.5" hidden="false" customHeight="true" outlineLevel="0" collapsed="false">
      <c r="A26" s="33" t="s">
        <v>135</v>
      </c>
      <c r="B26" s="31"/>
      <c r="C26" s="35" t="s">
        <v>133</v>
      </c>
      <c r="D26" s="36" t="s">
        <v>134</v>
      </c>
    </row>
    <row r="27" customFormat="false" ht="16.5" hidden="false" customHeight="true" outlineLevel="0" collapsed="false">
      <c r="A27" s="37" t="s">
        <v>137</v>
      </c>
      <c r="B27" s="31"/>
      <c r="C27" s="35" t="s">
        <v>133</v>
      </c>
      <c r="D27" s="36" t="s">
        <v>134</v>
      </c>
    </row>
    <row r="28" customFormat="false" ht="16.5" hidden="false" customHeight="true" outlineLevel="0" collapsed="false">
      <c r="A28" s="33" t="s">
        <v>139</v>
      </c>
      <c r="B28" s="31"/>
      <c r="C28" s="35" t="s">
        <v>133</v>
      </c>
      <c r="D28" s="36" t="s">
        <v>134</v>
      </c>
    </row>
    <row r="29" customFormat="false" ht="16.5" hidden="false" customHeight="true" outlineLevel="0" collapsed="false">
      <c r="A29" s="37" t="s">
        <v>141</v>
      </c>
      <c r="B29" s="31"/>
      <c r="C29" s="35" t="s">
        <v>133</v>
      </c>
      <c r="D29" s="36" t="s">
        <v>134</v>
      </c>
    </row>
    <row r="30" customFormat="false" ht="16.5" hidden="false" customHeight="true" outlineLevel="0" collapsed="false">
      <c r="A30" s="33" t="s">
        <v>143</v>
      </c>
      <c r="B30" s="31"/>
      <c r="C30" s="35" t="s">
        <v>133</v>
      </c>
      <c r="D30" s="36" t="s">
        <v>134</v>
      </c>
    </row>
    <row r="31" customFormat="false" ht="16.5" hidden="false" customHeight="true" outlineLevel="0" collapsed="false">
      <c r="A31" s="37" t="s">
        <v>144</v>
      </c>
      <c r="B31" s="31"/>
      <c r="C31" s="35" t="s">
        <v>133</v>
      </c>
      <c r="D31" s="36" t="s">
        <v>134</v>
      </c>
    </row>
    <row r="32" customFormat="false" ht="16.5" hidden="false" customHeight="true" outlineLevel="0" collapsed="false">
      <c r="A32" s="33" t="s">
        <v>145</v>
      </c>
      <c r="B32" s="31"/>
      <c r="C32" s="35" t="s">
        <v>133</v>
      </c>
      <c r="D32" s="36" t="s">
        <v>134</v>
      </c>
    </row>
    <row r="33" customFormat="false" ht="4.5" hidden="false" customHeight="true" outlineLevel="0" collapsed="false"/>
    <row r="34" customFormat="false" ht="19.5" hidden="false" customHeight="true" outlineLevel="0" collapsed="false">
      <c r="A34" s="32" t="s">
        <v>146</v>
      </c>
      <c r="B34" s="32"/>
      <c r="C34" s="32"/>
      <c r="D34" s="32"/>
    </row>
    <row r="35" customFormat="false" ht="18" hidden="false" customHeight="true" outlineLevel="0" collapsed="false">
      <c r="A35" s="33" t="s">
        <v>147</v>
      </c>
      <c r="B35" s="40" t="n">
        <f aca="false">IFERROR(COUNTIF(M129:M178,"Pending"),0)</f>
        <v>0</v>
      </c>
      <c r="C35" s="35" t="s">
        <v>106</v>
      </c>
      <c r="D35" s="36" t="s">
        <v>148</v>
      </c>
    </row>
    <row r="36" customFormat="false" ht="18" hidden="false" customHeight="true" outlineLevel="0" collapsed="false">
      <c r="A36" s="37" t="s">
        <v>149</v>
      </c>
      <c r="B36" s="40" t="n">
        <f aca="false">IFERROR(COUNTIF(M129:M178,"Confirmed"),0)</f>
        <v>0</v>
      </c>
      <c r="C36" s="35" t="s">
        <v>106</v>
      </c>
      <c r="D36" s="36" t="s">
        <v>148</v>
      </c>
    </row>
    <row r="37" customFormat="false" ht="18" hidden="false" customHeight="true" outlineLevel="0" collapsed="false">
      <c r="A37" s="33" t="s">
        <v>150</v>
      </c>
      <c r="B37" s="40" t="n">
        <f aca="false">IFERROR(COUNTIF(M129:M178,"In Production"),0)</f>
        <v>0</v>
      </c>
      <c r="C37" s="35" t="s">
        <v>106</v>
      </c>
      <c r="D37" s="36" t="s">
        <v>148</v>
      </c>
    </row>
    <row r="38" customFormat="false" ht="18" hidden="false" customHeight="true" outlineLevel="0" collapsed="false">
      <c r="A38" s="37" t="s">
        <v>151</v>
      </c>
      <c r="B38" s="40" t="n">
        <f aca="false">IFERROR(COUNTIF(M129:M178,"Shipped"),0)</f>
        <v>0</v>
      </c>
      <c r="C38" s="35" t="s">
        <v>106</v>
      </c>
      <c r="D38" s="36" t="s">
        <v>148</v>
      </c>
    </row>
    <row r="39" customFormat="false" ht="18" hidden="false" customHeight="true" outlineLevel="0" collapsed="false">
      <c r="A39" s="33" t="s">
        <v>152</v>
      </c>
      <c r="B39" s="40" t="n">
        <f aca="false">IFERROR(COUNTIF(M129:M178,"Delivered"),0)</f>
        <v>0</v>
      </c>
      <c r="C39" s="35" t="s">
        <v>106</v>
      </c>
      <c r="D39" s="36" t="s">
        <v>148</v>
      </c>
    </row>
    <row r="40" customFormat="false" ht="18" hidden="false" customHeight="true" outlineLevel="0" collapsed="false">
      <c r="A40" s="37" t="s">
        <v>153</v>
      </c>
      <c r="B40" s="40" t="n">
        <f aca="false">IFERROR(SUM(B35:B39),0)</f>
        <v>0</v>
      </c>
      <c r="C40" s="35" t="s">
        <v>106</v>
      </c>
      <c r="D40" s="36" t="s">
        <v>154</v>
      </c>
    </row>
    <row r="41" customFormat="false" ht="18" hidden="false" customHeight="true" outlineLevel="0" collapsed="false">
      <c r="A41" s="33" t="s">
        <v>155</v>
      </c>
      <c r="B41" s="43"/>
      <c r="C41" s="35" t="s">
        <v>103</v>
      </c>
      <c r="D41" s="36" t="s">
        <v>156</v>
      </c>
    </row>
    <row r="42" customFormat="false" ht="4.5" hidden="false" customHeight="true" outlineLevel="0" collapsed="false"/>
    <row r="43" customFormat="false" ht="19.5" hidden="false" customHeight="true" outlineLevel="0" collapsed="false">
      <c r="A43" s="32" t="s">
        <v>157</v>
      </c>
      <c r="B43" s="32"/>
      <c r="C43" s="32"/>
      <c r="D43" s="32"/>
    </row>
    <row r="44" customFormat="false" ht="18" hidden="false" customHeight="true" outlineLevel="0" collapsed="false">
      <c r="A44" s="33" t="s">
        <v>158</v>
      </c>
      <c r="B44" s="42"/>
      <c r="C44" s="35" t="s">
        <v>159</v>
      </c>
      <c r="D44" s="36" t="s">
        <v>160</v>
      </c>
    </row>
    <row r="45" customFormat="false" ht="18" hidden="false" customHeight="true" outlineLevel="0" collapsed="false">
      <c r="A45" s="37" t="s">
        <v>161</v>
      </c>
      <c r="B45" s="42"/>
      <c r="C45" s="35" t="s">
        <v>159</v>
      </c>
      <c r="D45" s="36" t="s">
        <v>162</v>
      </c>
    </row>
    <row r="46" customFormat="false" ht="18" hidden="false" customHeight="true" outlineLevel="0" collapsed="false">
      <c r="A46" s="33" t="s">
        <v>163</v>
      </c>
      <c r="B46" s="40" t="n">
        <f aca="false">IFERROR(B44+B45,"")</f>
        <v>0</v>
      </c>
      <c r="C46" s="35" t="s">
        <v>159</v>
      </c>
      <c r="D46" s="36" t="s">
        <v>104</v>
      </c>
    </row>
    <row r="47" customFormat="false" ht="18" hidden="false" customHeight="true" outlineLevel="0" collapsed="false">
      <c r="A47" s="37" t="s">
        <v>164</v>
      </c>
      <c r="B47" s="42"/>
      <c r="C47" s="35" t="s">
        <v>159</v>
      </c>
      <c r="D47" s="36" t="s">
        <v>165</v>
      </c>
    </row>
    <row r="48" customFormat="false" ht="18" hidden="false" customHeight="true" outlineLevel="0" collapsed="false">
      <c r="A48" s="33" t="s">
        <v>166</v>
      </c>
      <c r="B48" s="41" t="str">
        <f aca="false">IFERROR((B44+B45)/B47,"")</f>
        <v/>
      </c>
      <c r="C48" s="35" t="s">
        <v>103</v>
      </c>
      <c r="D48" s="36" t="s">
        <v>104</v>
      </c>
    </row>
    <row r="49" customFormat="false" ht="18" hidden="false" customHeight="true" outlineLevel="0" collapsed="false">
      <c r="A49" s="37" t="s">
        <v>167</v>
      </c>
      <c r="B49" s="31"/>
      <c r="C49" s="35" t="s">
        <v>169</v>
      </c>
      <c r="D49" s="36" t="s">
        <v>170</v>
      </c>
    </row>
    <row r="50" customFormat="false" ht="18" hidden="false" customHeight="true" outlineLevel="0" collapsed="false">
      <c r="A50" s="33" t="s">
        <v>171</v>
      </c>
      <c r="B50" s="31"/>
      <c r="C50" s="35" t="s">
        <v>169</v>
      </c>
      <c r="D50" s="36" t="s">
        <v>173</v>
      </c>
    </row>
    <row r="51" customFormat="false" ht="18" hidden="false" customHeight="true" outlineLevel="0" collapsed="false">
      <c r="A51" s="37" t="s">
        <v>174</v>
      </c>
      <c r="B51" s="31"/>
      <c r="C51" s="35" t="s">
        <v>169</v>
      </c>
      <c r="D51" s="36"/>
    </row>
    <row r="52" customFormat="false" ht="18" hidden="false" customHeight="true" outlineLevel="0" collapsed="false">
      <c r="A52" s="33" t="s">
        <v>176</v>
      </c>
      <c r="B52" s="31"/>
      <c r="C52" s="35" t="s">
        <v>169</v>
      </c>
      <c r="D52" s="36"/>
    </row>
    <row r="53" customFormat="false" ht="4.5" hidden="false" customHeight="true" outlineLevel="0" collapsed="false"/>
    <row r="54" customFormat="false" ht="19.5" hidden="false" customHeight="true" outlineLevel="0" collapsed="false">
      <c r="A54" s="32" t="s">
        <v>177</v>
      </c>
      <c r="B54" s="32"/>
      <c r="C54" s="32"/>
      <c r="D54" s="32"/>
    </row>
    <row r="55" customFormat="false" ht="18" hidden="false" customHeight="true" outlineLevel="0" collapsed="false">
      <c r="A55" s="33" t="s">
        <v>178</v>
      </c>
      <c r="B55" s="42"/>
      <c r="C55" s="35" t="s">
        <v>106</v>
      </c>
      <c r="D55" s="36" t="s">
        <v>179</v>
      </c>
    </row>
    <row r="56" customFormat="false" ht="18" hidden="false" customHeight="true" outlineLevel="0" collapsed="false">
      <c r="A56" s="37" t="s">
        <v>180</v>
      </c>
      <c r="B56" s="42"/>
      <c r="C56" s="35" t="s">
        <v>106</v>
      </c>
      <c r="D56" s="36" t="s">
        <v>181</v>
      </c>
    </row>
    <row r="57" customFormat="false" ht="18" hidden="false" customHeight="true" outlineLevel="0" collapsed="false">
      <c r="A57" s="33" t="s">
        <v>182</v>
      </c>
      <c r="B57" s="42"/>
      <c r="C57" s="35" t="s">
        <v>106</v>
      </c>
      <c r="D57" s="36" t="s">
        <v>183</v>
      </c>
    </row>
    <row r="58" customFormat="false" ht="18" hidden="false" customHeight="true" outlineLevel="0" collapsed="false">
      <c r="A58" s="37" t="s">
        <v>184</v>
      </c>
      <c r="B58" s="42"/>
      <c r="C58" s="35" t="s">
        <v>106</v>
      </c>
      <c r="D58" s="36" t="s">
        <v>185</v>
      </c>
    </row>
    <row r="59" customFormat="false" ht="18" hidden="false" customHeight="true" outlineLevel="0" collapsed="false">
      <c r="A59" s="33" t="s">
        <v>186</v>
      </c>
      <c r="B59" s="41" t="str">
        <f aca="false">IFERROR(B56/B55,"")</f>
        <v/>
      </c>
      <c r="C59" s="35" t="s">
        <v>103</v>
      </c>
      <c r="D59" s="36" t="s">
        <v>104</v>
      </c>
    </row>
    <row r="60" customFormat="false" ht="18" hidden="false" customHeight="true" outlineLevel="0" collapsed="false">
      <c r="A60" s="37" t="s">
        <v>187</v>
      </c>
      <c r="B60" s="41" t="str">
        <f aca="false">IFERROR(B57/B55,"")</f>
        <v/>
      </c>
      <c r="C60" s="35" t="s">
        <v>103</v>
      </c>
      <c r="D60" s="36" t="s">
        <v>104</v>
      </c>
    </row>
    <row r="61" customFormat="false" ht="18" hidden="false" customHeight="true" outlineLevel="0" collapsed="false">
      <c r="A61" s="33" t="s">
        <v>188</v>
      </c>
      <c r="B61" s="41" t="str">
        <f aca="false">IFERROR(B58/B55,"")</f>
        <v/>
      </c>
      <c r="C61" s="35" t="s">
        <v>103</v>
      </c>
      <c r="D61" s="36" t="s">
        <v>104</v>
      </c>
    </row>
    <row r="62" customFormat="false" ht="18" hidden="false" customHeight="true" outlineLevel="0" collapsed="false">
      <c r="A62" s="37" t="s">
        <v>189</v>
      </c>
      <c r="B62" s="31"/>
      <c r="C62" s="35"/>
      <c r="D62" s="36" t="s">
        <v>191</v>
      </c>
    </row>
    <row r="63" customFormat="false" ht="18" hidden="false" customHeight="true" outlineLevel="0" collapsed="false">
      <c r="A63" s="33" t="s">
        <v>192</v>
      </c>
      <c r="B63" s="31"/>
      <c r="C63" s="35"/>
      <c r="D63" s="36"/>
    </row>
    <row r="64" customFormat="false" ht="18" hidden="false" customHeight="true" outlineLevel="0" collapsed="false">
      <c r="A64" s="37" t="s">
        <v>194</v>
      </c>
      <c r="B64" s="31"/>
      <c r="C64" s="35"/>
      <c r="D64" s="36"/>
    </row>
    <row r="65" customFormat="false" ht="18" hidden="false" customHeight="true" outlineLevel="0" collapsed="false">
      <c r="A65" s="33" t="s">
        <v>196</v>
      </c>
      <c r="B65" s="31"/>
      <c r="C65" s="35"/>
      <c r="D65" s="36"/>
    </row>
    <row r="66" customFormat="false" ht="18" hidden="false" customHeight="true" outlineLevel="0" collapsed="false">
      <c r="A66" s="37" t="s">
        <v>198</v>
      </c>
      <c r="B66" s="31"/>
      <c r="C66" s="35"/>
      <c r="D66" s="36"/>
    </row>
    <row r="67" customFormat="false" ht="4.5" hidden="false" customHeight="true" outlineLevel="0" collapsed="false"/>
    <row r="68" customFormat="false" ht="19.5" hidden="false" customHeight="true" outlineLevel="0" collapsed="false">
      <c r="A68" s="32" t="s">
        <v>199</v>
      </c>
      <c r="B68" s="32"/>
      <c r="C68" s="32"/>
      <c r="D68" s="32"/>
    </row>
    <row r="69" customFormat="false" ht="18" hidden="false" customHeight="true" outlineLevel="0" collapsed="false">
      <c r="A69" s="33" t="s">
        <v>200</v>
      </c>
      <c r="B69" s="43"/>
      <c r="C69" s="35" t="s">
        <v>103</v>
      </c>
      <c r="D69" s="36" t="s">
        <v>201</v>
      </c>
    </row>
    <row r="70" customFormat="false" ht="18" hidden="false" customHeight="true" outlineLevel="0" collapsed="false">
      <c r="A70" s="37" t="s">
        <v>202</v>
      </c>
      <c r="B70" s="31"/>
      <c r="C70" s="35"/>
      <c r="D70" s="36" t="s">
        <v>204</v>
      </c>
    </row>
    <row r="71" customFormat="false" ht="18" hidden="false" customHeight="true" outlineLevel="0" collapsed="false">
      <c r="A71" s="33" t="s">
        <v>205</v>
      </c>
      <c r="B71" s="31"/>
      <c r="C71" s="35"/>
      <c r="D71" s="36" t="s">
        <v>206</v>
      </c>
    </row>
    <row r="72" customFormat="false" ht="18" hidden="false" customHeight="true" outlineLevel="0" collapsed="false">
      <c r="A72" s="37" t="s">
        <v>207</v>
      </c>
      <c r="B72" s="31"/>
      <c r="C72" s="35"/>
      <c r="D72" s="36" t="s">
        <v>208</v>
      </c>
    </row>
    <row r="73" customFormat="false" ht="4.5" hidden="false" customHeight="true" outlineLevel="0" collapsed="false"/>
    <row r="74" customFormat="false" ht="19.5" hidden="false" customHeight="true" outlineLevel="0" collapsed="false">
      <c r="A74" s="44" t="s">
        <v>209</v>
      </c>
      <c r="B74" s="44"/>
      <c r="C74" s="44"/>
      <c r="D74" s="44"/>
    </row>
    <row r="75" customFormat="false" ht="18" hidden="false" customHeight="true" outlineLevel="0" collapsed="false">
      <c r="A75" s="45" t="s">
        <v>210</v>
      </c>
      <c r="B75" s="45" t="s">
        <v>211</v>
      </c>
      <c r="C75" s="45" t="s">
        <v>212</v>
      </c>
      <c r="D75" s="45" t="s">
        <v>213</v>
      </c>
    </row>
    <row r="76" customFormat="false" ht="30" hidden="false" customHeight="true" outlineLevel="0" collapsed="false">
      <c r="A76" s="46" t="n">
        <v>1</v>
      </c>
      <c r="B76" s="47"/>
      <c r="C76" s="48"/>
      <c r="D76" s="48"/>
    </row>
    <row r="77" customFormat="false" ht="30" hidden="false" customHeight="true" outlineLevel="0" collapsed="false">
      <c r="A77" s="49" t="n">
        <v>2</v>
      </c>
      <c r="B77" s="47"/>
      <c r="C77" s="48"/>
      <c r="D77" s="48"/>
    </row>
    <row r="78" customFormat="false" ht="30" hidden="false" customHeight="true" outlineLevel="0" collapsed="false">
      <c r="A78" s="46" t="n">
        <v>3</v>
      </c>
      <c r="B78" s="47"/>
      <c r="C78" s="48"/>
      <c r="D78" s="48"/>
    </row>
    <row r="79" customFormat="false" ht="30" hidden="false" customHeight="true" outlineLevel="0" collapsed="false">
      <c r="A79" s="49" t="n">
        <v>4</v>
      </c>
      <c r="B79" s="47"/>
      <c r="C79" s="48"/>
      <c r="D79" s="48"/>
    </row>
    <row r="80" customFormat="false" ht="30" hidden="false" customHeight="true" outlineLevel="0" collapsed="false">
      <c r="A80" s="46" t="n">
        <v>5</v>
      </c>
      <c r="B80" s="47"/>
      <c r="C80" s="48"/>
      <c r="D80" s="48"/>
    </row>
    <row r="81" customFormat="false" ht="30" hidden="false" customHeight="true" outlineLevel="0" collapsed="false">
      <c r="A81" s="49" t="n">
        <v>6</v>
      </c>
      <c r="B81" s="47"/>
      <c r="C81" s="48"/>
      <c r="D81" s="48"/>
    </row>
    <row r="82" customFormat="false" ht="30" hidden="false" customHeight="true" outlineLevel="0" collapsed="false">
      <c r="A82" s="46" t="n">
        <v>7</v>
      </c>
      <c r="B82" s="47"/>
      <c r="C82" s="48"/>
      <c r="D82" s="48"/>
    </row>
    <row r="83" customFormat="false" ht="30" hidden="false" customHeight="true" outlineLevel="0" collapsed="false">
      <c r="A83" s="49" t="n">
        <v>8</v>
      </c>
      <c r="B83" s="47"/>
      <c r="C83" s="48"/>
      <c r="D83" s="48"/>
    </row>
    <row r="84" customFormat="false" ht="4.5" hidden="false" customHeight="true" outlineLevel="0" collapsed="false"/>
    <row r="85" customFormat="false" ht="13.5" hidden="false" customHeight="true" outlineLevel="0" collapsed="false">
      <c r="A85" s="26" t="s">
        <v>219</v>
      </c>
      <c r="B85" s="26"/>
      <c r="C85" s="26"/>
      <c r="D85" s="26"/>
    </row>
    <row r="86" customFormat="false" ht="13.5" hidden="false" customHeight="true" outlineLevel="0" collapsed="false">
      <c r="A86" s="50" t="s">
        <v>220</v>
      </c>
      <c r="B86" s="50"/>
      <c r="C86" s="50"/>
      <c r="D86" s="50"/>
    </row>
    <row r="87" customFormat="false" ht="7.5" hidden="false" customHeight="true" outlineLevel="0" collapsed="false"/>
    <row r="88" customFormat="false" ht="7.5" hidden="false" customHeight="true" outlineLevel="0" collapsed="false"/>
    <row r="89" customFormat="false" ht="19.5" hidden="false" customHeight="true" outlineLevel="0" collapsed="false">
      <c r="A89" s="32" t="s">
        <v>221</v>
      </c>
      <c r="B89" s="32"/>
      <c r="C89" s="32"/>
      <c r="D89" s="32"/>
      <c r="E89" s="32"/>
      <c r="F89" s="32"/>
      <c r="G89" s="32"/>
      <c r="H89" s="32"/>
      <c r="I89" s="32"/>
    </row>
    <row r="90" customFormat="false" ht="30" hidden="false" customHeight="true" outlineLevel="0" collapsed="false">
      <c r="A90" s="51" t="s">
        <v>106</v>
      </c>
      <c r="B90" s="51" t="s">
        <v>222</v>
      </c>
      <c r="C90" s="51" t="s">
        <v>223</v>
      </c>
      <c r="D90" s="51" t="s">
        <v>224</v>
      </c>
      <c r="E90" s="51" t="s">
        <v>225</v>
      </c>
      <c r="F90" s="51" t="s">
        <v>226</v>
      </c>
      <c r="G90" s="51" t="s">
        <v>227</v>
      </c>
      <c r="H90" s="51" t="s">
        <v>228</v>
      </c>
      <c r="I90" s="51" t="s">
        <v>229</v>
      </c>
    </row>
    <row r="91" customFormat="false" ht="16.5" hidden="false" customHeight="true" outlineLevel="0" collapsed="false">
      <c r="A91" s="52" t="n">
        <v>1</v>
      </c>
      <c r="B91" s="53"/>
      <c r="C91" s="53"/>
      <c r="D91" s="53"/>
      <c r="E91" s="53"/>
      <c r="F91" s="54"/>
      <c r="G91" s="55"/>
      <c r="H91" s="53"/>
      <c r="I91" s="53"/>
    </row>
    <row r="92" customFormat="false" ht="16.5" hidden="false" customHeight="true" outlineLevel="0" collapsed="false">
      <c r="A92" s="52" t="n">
        <v>2</v>
      </c>
      <c r="B92" s="53"/>
      <c r="C92" s="53"/>
      <c r="D92" s="53"/>
      <c r="E92" s="53"/>
      <c r="F92" s="54"/>
      <c r="G92" s="55"/>
      <c r="H92" s="53"/>
      <c r="I92" s="53"/>
    </row>
    <row r="93" customFormat="false" ht="16.5" hidden="false" customHeight="true" outlineLevel="0" collapsed="false">
      <c r="A93" s="52" t="n">
        <v>3</v>
      </c>
      <c r="B93" s="53"/>
      <c r="C93" s="53"/>
      <c r="D93" s="53"/>
      <c r="E93" s="53"/>
      <c r="F93" s="54"/>
      <c r="G93" s="55"/>
      <c r="H93" s="53"/>
      <c r="I93" s="53"/>
    </row>
    <row r="94" customFormat="false" ht="16.5" hidden="false" customHeight="true" outlineLevel="0" collapsed="false">
      <c r="A94" s="52" t="n">
        <v>4</v>
      </c>
      <c r="B94" s="53"/>
      <c r="C94" s="53"/>
      <c r="D94" s="53"/>
      <c r="E94" s="53"/>
      <c r="F94" s="54"/>
      <c r="G94" s="55"/>
      <c r="H94" s="53"/>
      <c r="I94" s="53"/>
    </row>
    <row r="95" customFormat="false" ht="16.5" hidden="false" customHeight="true" outlineLevel="0" collapsed="false">
      <c r="A95" s="52" t="n">
        <v>5</v>
      </c>
      <c r="B95" s="53"/>
      <c r="C95" s="53"/>
      <c r="D95" s="53"/>
      <c r="E95" s="53"/>
      <c r="F95" s="54"/>
      <c r="G95" s="55"/>
      <c r="H95" s="53"/>
      <c r="I95" s="53"/>
    </row>
    <row r="96" customFormat="false" ht="16.5" hidden="false" customHeight="true" outlineLevel="0" collapsed="false">
      <c r="A96" s="52" t="n">
        <v>6</v>
      </c>
      <c r="B96" s="53"/>
      <c r="C96" s="53"/>
      <c r="D96" s="53"/>
      <c r="E96" s="53"/>
      <c r="F96" s="54"/>
      <c r="G96" s="55"/>
      <c r="H96" s="53"/>
      <c r="I96" s="53"/>
    </row>
    <row r="97" customFormat="false" ht="16.5" hidden="false" customHeight="true" outlineLevel="0" collapsed="false">
      <c r="A97" s="52" t="n">
        <v>7</v>
      </c>
      <c r="B97" s="53"/>
      <c r="C97" s="53"/>
      <c r="D97" s="53"/>
      <c r="E97" s="53"/>
      <c r="F97" s="54"/>
      <c r="G97" s="55"/>
      <c r="H97" s="53"/>
      <c r="I97" s="53"/>
    </row>
    <row r="98" customFormat="false" ht="16.5" hidden="false" customHeight="true" outlineLevel="0" collapsed="false">
      <c r="A98" s="52" t="n">
        <v>8</v>
      </c>
      <c r="B98" s="53"/>
      <c r="C98" s="53"/>
      <c r="D98" s="53"/>
      <c r="E98" s="53"/>
      <c r="F98" s="54"/>
      <c r="G98" s="55"/>
      <c r="H98" s="53"/>
      <c r="I98" s="53"/>
    </row>
    <row r="99" customFormat="false" ht="16.5" hidden="false" customHeight="true" outlineLevel="0" collapsed="false">
      <c r="A99" s="52" t="n">
        <v>9</v>
      </c>
      <c r="B99" s="53"/>
      <c r="C99" s="53"/>
      <c r="D99" s="53"/>
      <c r="E99" s="53"/>
      <c r="F99" s="54"/>
      <c r="G99" s="55"/>
      <c r="H99" s="53"/>
      <c r="I99" s="53"/>
    </row>
    <row r="100" customFormat="false" ht="16.5" hidden="false" customHeight="true" outlineLevel="0" collapsed="false">
      <c r="A100" s="52" t="n">
        <v>10</v>
      </c>
      <c r="B100" s="53"/>
      <c r="C100" s="53"/>
      <c r="D100" s="53"/>
      <c r="E100" s="53"/>
      <c r="F100" s="54"/>
      <c r="G100" s="55"/>
      <c r="H100" s="53"/>
      <c r="I100" s="53"/>
    </row>
    <row r="101" customFormat="false" ht="16.5" hidden="false" customHeight="true" outlineLevel="0" collapsed="false">
      <c r="A101" s="52" t="n">
        <v>11</v>
      </c>
      <c r="B101" s="53"/>
      <c r="C101" s="53"/>
      <c r="D101" s="53"/>
      <c r="E101" s="53"/>
      <c r="F101" s="54"/>
      <c r="G101" s="55"/>
      <c r="H101" s="53"/>
      <c r="I101" s="53"/>
    </row>
    <row r="102" customFormat="false" ht="16.5" hidden="false" customHeight="true" outlineLevel="0" collapsed="false">
      <c r="A102" s="52" t="n">
        <v>12</v>
      </c>
      <c r="B102" s="53"/>
      <c r="C102" s="53"/>
      <c r="D102" s="53"/>
      <c r="E102" s="53"/>
      <c r="F102" s="54"/>
      <c r="G102" s="55"/>
      <c r="H102" s="53"/>
      <c r="I102" s="53"/>
    </row>
    <row r="103" customFormat="false" ht="16.5" hidden="false" customHeight="true" outlineLevel="0" collapsed="false">
      <c r="A103" s="52" t="n">
        <v>13</v>
      </c>
      <c r="B103" s="53"/>
      <c r="C103" s="53"/>
      <c r="D103" s="53"/>
      <c r="E103" s="53"/>
      <c r="F103" s="54"/>
      <c r="G103" s="55"/>
      <c r="H103" s="53"/>
      <c r="I103" s="53"/>
    </row>
    <row r="104" customFormat="false" ht="16.5" hidden="false" customHeight="true" outlineLevel="0" collapsed="false">
      <c r="A104" s="52" t="n">
        <v>14</v>
      </c>
      <c r="B104" s="53"/>
      <c r="C104" s="53"/>
      <c r="D104" s="53"/>
      <c r="E104" s="53"/>
      <c r="F104" s="54"/>
      <c r="G104" s="55"/>
      <c r="H104" s="53"/>
      <c r="I104" s="53"/>
    </row>
    <row r="105" customFormat="false" ht="16.5" hidden="false" customHeight="true" outlineLevel="0" collapsed="false">
      <c r="A105" s="52" t="n">
        <v>15</v>
      </c>
      <c r="B105" s="53"/>
      <c r="C105" s="53"/>
      <c r="D105" s="53"/>
      <c r="E105" s="53"/>
      <c r="F105" s="54"/>
      <c r="G105" s="55"/>
      <c r="H105" s="53"/>
      <c r="I105" s="53"/>
    </row>
    <row r="106" customFormat="false" ht="16.5" hidden="false" customHeight="true" outlineLevel="0" collapsed="false">
      <c r="A106" s="52" t="n">
        <v>16</v>
      </c>
      <c r="B106" s="53"/>
      <c r="C106" s="53"/>
      <c r="D106" s="53"/>
      <c r="E106" s="53"/>
      <c r="F106" s="54"/>
      <c r="G106" s="55"/>
      <c r="H106" s="53"/>
      <c r="I106" s="53"/>
    </row>
    <row r="107" customFormat="false" ht="16.5" hidden="false" customHeight="true" outlineLevel="0" collapsed="false">
      <c r="A107" s="52" t="n">
        <v>17</v>
      </c>
      <c r="B107" s="53"/>
      <c r="C107" s="53"/>
      <c r="D107" s="53"/>
      <c r="E107" s="53"/>
      <c r="F107" s="54"/>
      <c r="G107" s="55"/>
      <c r="H107" s="53"/>
      <c r="I107" s="53"/>
    </row>
    <row r="108" customFormat="false" ht="16.5" hidden="false" customHeight="true" outlineLevel="0" collapsed="false">
      <c r="A108" s="52" t="n">
        <v>18</v>
      </c>
      <c r="B108" s="53"/>
      <c r="C108" s="53"/>
      <c r="D108" s="53"/>
      <c r="E108" s="53"/>
      <c r="F108" s="54"/>
      <c r="G108" s="55"/>
      <c r="H108" s="53"/>
      <c r="I108" s="53"/>
    </row>
    <row r="109" customFormat="false" ht="16.5" hidden="false" customHeight="true" outlineLevel="0" collapsed="false">
      <c r="A109" s="52" t="n">
        <v>19</v>
      </c>
      <c r="B109" s="53"/>
      <c r="C109" s="53"/>
      <c r="D109" s="53"/>
      <c r="E109" s="53"/>
      <c r="F109" s="54"/>
      <c r="G109" s="55"/>
      <c r="H109" s="53"/>
      <c r="I109" s="53"/>
    </row>
    <row r="110" customFormat="false" ht="16.5" hidden="false" customHeight="true" outlineLevel="0" collapsed="false">
      <c r="A110" s="52" t="n">
        <v>20</v>
      </c>
      <c r="B110" s="53"/>
      <c r="C110" s="53"/>
      <c r="D110" s="53"/>
      <c r="E110" s="53"/>
      <c r="F110" s="54"/>
      <c r="G110" s="55"/>
      <c r="H110" s="53"/>
      <c r="I110" s="53"/>
    </row>
    <row r="111" customFormat="false" ht="16.5" hidden="false" customHeight="true" outlineLevel="0" collapsed="false">
      <c r="A111" s="52" t="n">
        <v>21</v>
      </c>
      <c r="B111" s="53"/>
      <c r="C111" s="53"/>
      <c r="D111" s="53"/>
      <c r="E111" s="53"/>
      <c r="F111" s="54"/>
      <c r="G111" s="55"/>
      <c r="H111" s="53"/>
      <c r="I111" s="53"/>
    </row>
    <row r="112" customFormat="false" ht="16.5" hidden="false" customHeight="true" outlineLevel="0" collapsed="false">
      <c r="A112" s="52" t="n">
        <v>22</v>
      </c>
      <c r="B112" s="53"/>
      <c r="C112" s="53"/>
      <c r="D112" s="53"/>
      <c r="E112" s="53"/>
      <c r="F112" s="54"/>
      <c r="G112" s="55"/>
      <c r="H112" s="53"/>
      <c r="I112" s="53"/>
    </row>
    <row r="113" customFormat="false" ht="16.5" hidden="false" customHeight="true" outlineLevel="0" collapsed="false">
      <c r="A113" s="52" t="n">
        <v>23</v>
      </c>
      <c r="B113" s="53"/>
      <c r="C113" s="53"/>
      <c r="D113" s="53"/>
      <c r="E113" s="53"/>
      <c r="F113" s="54"/>
      <c r="G113" s="55"/>
      <c r="H113" s="53"/>
      <c r="I113" s="53"/>
    </row>
    <row r="114" customFormat="false" ht="16.5" hidden="false" customHeight="true" outlineLevel="0" collapsed="false">
      <c r="A114" s="52" t="n">
        <v>24</v>
      </c>
      <c r="B114" s="53"/>
      <c r="C114" s="53"/>
      <c r="D114" s="53"/>
      <c r="E114" s="53"/>
      <c r="F114" s="54"/>
      <c r="G114" s="55"/>
      <c r="H114" s="53"/>
      <c r="I114" s="53"/>
    </row>
    <row r="115" customFormat="false" ht="16.5" hidden="false" customHeight="true" outlineLevel="0" collapsed="false">
      <c r="A115" s="52" t="n">
        <v>25</v>
      </c>
      <c r="B115" s="53"/>
      <c r="C115" s="53"/>
      <c r="D115" s="53"/>
      <c r="E115" s="53"/>
      <c r="F115" s="54"/>
      <c r="G115" s="55"/>
      <c r="H115" s="53"/>
      <c r="I115" s="53"/>
    </row>
    <row r="116" customFormat="false" ht="16.5" hidden="false" customHeight="true" outlineLevel="0" collapsed="false">
      <c r="A116" s="52" t="n">
        <v>26</v>
      </c>
      <c r="B116" s="53"/>
      <c r="C116" s="53"/>
      <c r="D116" s="53"/>
      <c r="E116" s="53"/>
      <c r="F116" s="54"/>
      <c r="G116" s="55"/>
      <c r="H116" s="53"/>
      <c r="I116" s="53"/>
    </row>
    <row r="117" customFormat="false" ht="16.5" hidden="false" customHeight="true" outlineLevel="0" collapsed="false">
      <c r="A117" s="52" t="n">
        <v>27</v>
      </c>
      <c r="B117" s="53"/>
      <c r="C117" s="53"/>
      <c r="D117" s="53"/>
      <c r="E117" s="53"/>
      <c r="F117" s="54"/>
      <c r="G117" s="55"/>
      <c r="H117" s="53"/>
      <c r="I117" s="53"/>
    </row>
    <row r="118" customFormat="false" ht="16.5" hidden="false" customHeight="true" outlineLevel="0" collapsed="false">
      <c r="A118" s="52" t="n">
        <v>28</v>
      </c>
      <c r="B118" s="53"/>
      <c r="C118" s="53"/>
      <c r="D118" s="53"/>
      <c r="E118" s="53"/>
      <c r="F118" s="54"/>
      <c r="G118" s="55"/>
      <c r="H118" s="53"/>
      <c r="I118" s="53"/>
    </row>
    <row r="119" customFormat="false" ht="16.5" hidden="false" customHeight="true" outlineLevel="0" collapsed="false">
      <c r="A119" s="52" t="n">
        <v>29</v>
      </c>
      <c r="B119" s="53"/>
      <c r="C119" s="53"/>
      <c r="D119" s="53"/>
      <c r="E119" s="53"/>
      <c r="F119" s="54"/>
      <c r="G119" s="55"/>
      <c r="H119" s="53"/>
      <c r="I119" s="53"/>
    </row>
    <row r="120" customFormat="false" ht="16.5" hidden="false" customHeight="true" outlineLevel="0" collapsed="false">
      <c r="A120" s="52" t="n">
        <v>30</v>
      </c>
      <c r="B120" s="53"/>
      <c r="C120" s="53"/>
      <c r="D120" s="53"/>
      <c r="E120" s="53"/>
      <c r="F120" s="54"/>
      <c r="G120" s="55"/>
      <c r="H120" s="53"/>
      <c r="I120" s="53"/>
    </row>
    <row r="121" customFormat="false" ht="16.5" hidden="false" customHeight="true" outlineLevel="0" collapsed="false">
      <c r="A121" s="52" t="n">
        <v>31</v>
      </c>
      <c r="B121" s="53"/>
      <c r="C121" s="53"/>
      <c r="D121" s="53"/>
      <c r="E121" s="53"/>
      <c r="F121" s="54"/>
      <c r="G121" s="55"/>
      <c r="H121" s="53"/>
      <c r="I121" s="53"/>
    </row>
    <row r="122" customFormat="false" ht="16.5" hidden="false" customHeight="true" outlineLevel="0" collapsed="false">
      <c r="A122" s="52" t="n">
        <v>32</v>
      </c>
      <c r="B122" s="53"/>
      <c r="C122" s="53"/>
      <c r="D122" s="53"/>
      <c r="E122" s="53"/>
      <c r="F122" s="54"/>
      <c r="G122" s="55"/>
      <c r="H122" s="53"/>
      <c r="I122" s="53"/>
    </row>
    <row r="123" customFormat="false" ht="16.5" hidden="false" customHeight="true" outlineLevel="0" collapsed="false">
      <c r="A123" s="52" t="n">
        <v>33</v>
      </c>
      <c r="B123" s="53"/>
      <c r="C123" s="53"/>
      <c r="D123" s="53"/>
      <c r="E123" s="53"/>
      <c r="F123" s="54"/>
      <c r="G123" s="55"/>
      <c r="H123" s="53"/>
      <c r="I123" s="53"/>
    </row>
    <row r="124" customFormat="false" ht="16.5" hidden="false" customHeight="true" outlineLevel="0" collapsed="false">
      <c r="A124" s="52" t="n">
        <v>34</v>
      </c>
      <c r="B124" s="53"/>
      <c r="C124" s="53"/>
      <c r="D124" s="53"/>
      <c r="E124" s="53"/>
      <c r="F124" s="54"/>
      <c r="G124" s="55"/>
      <c r="H124" s="53"/>
      <c r="I124" s="53"/>
    </row>
    <row r="125" customFormat="false" ht="16.5" hidden="false" customHeight="true" outlineLevel="0" collapsed="false">
      <c r="A125" s="52" t="n">
        <v>35</v>
      </c>
      <c r="B125" s="53"/>
      <c r="C125" s="53"/>
      <c r="D125" s="53"/>
      <c r="E125" s="53"/>
      <c r="F125" s="54"/>
      <c r="G125" s="55"/>
      <c r="H125" s="53"/>
      <c r="I125" s="53"/>
    </row>
    <row r="126" customFormat="false" ht="15" hidden="false" customHeight="true" outlineLevel="0" collapsed="false">
      <c r="A126" s="56" t="s">
        <v>260</v>
      </c>
      <c r="B126" s="56"/>
      <c r="C126" s="56"/>
      <c r="D126" s="56"/>
      <c r="E126" s="56"/>
      <c r="F126" s="57" t="n">
        <f aca="false">IFERROR(SUM(F91:F125),0)</f>
        <v>0</v>
      </c>
    </row>
    <row r="127" customFormat="false" ht="19.5" hidden="false" customHeight="true" outlineLevel="0" collapsed="false">
      <c r="A127" s="32" t="s">
        <v>261</v>
      </c>
      <c r="B127" s="32"/>
      <c r="C127" s="32"/>
      <c r="D127" s="32"/>
      <c r="E127" s="32"/>
      <c r="F127" s="58"/>
      <c r="G127" s="58"/>
      <c r="H127" s="58"/>
      <c r="I127" s="58"/>
      <c r="J127" s="58"/>
      <c r="K127" s="58"/>
      <c r="L127" s="58"/>
      <c r="M127" s="58"/>
      <c r="N127" s="58"/>
    </row>
    <row r="128" customFormat="false" ht="31.5" hidden="false" customHeight="true" outlineLevel="0" collapsed="false">
      <c r="A128" s="51" t="s">
        <v>106</v>
      </c>
      <c r="B128" s="51" t="s">
        <v>262</v>
      </c>
      <c r="C128" s="51" t="s">
        <v>263</v>
      </c>
      <c r="D128" s="51" t="s">
        <v>264</v>
      </c>
      <c r="E128" s="51" t="s">
        <v>265</v>
      </c>
      <c r="F128" s="51" t="s">
        <v>266</v>
      </c>
      <c r="G128" s="51" t="s">
        <v>267</v>
      </c>
      <c r="H128" s="51" t="s">
        <v>268</v>
      </c>
      <c r="I128" s="51" t="s">
        <v>269</v>
      </c>
      <c r="J128" s="51" t="s">
        <v>270</v>
      </c>
      <c r="K128" s="51" t="s">
        <v>271</v>
      </c>
      <c r="L128" s="51" t="s">
        <v>272</v>
      </c>
      <c r="M128" s="51" t="s">
        <v>61</v>
      </c>
      <c r="N128" s="51" t="s">
        <v>273</v>
      </c>
    </row>
    <row r="129" customFormat="false" ht="16.5" hidden="false" customHeight="true" outlineLevel="0" collapsed="false">
      <c r="A129" s="52" t="n">
        <v>1</v>
      </c>
      <c r="B129" s="53"/>
      <c r="C129" s="53"/>
      <c r="D129" s="53"/>
      <c r="E129" s="59"/>
      <c r="F129" s="59"/>
      <c r="G129" s="60"/>
      <c r="H129" s="57" t="n">
        <f aca="false">IFERROR(E129*G129,"")</f>
        <v>0</v>
      </c>
      <c r="I129" s="53"/>
      <c r="J129" s="55"/>
      <c r="K129" s="55"/>
      <c r="L129" s="55"/>
      <c r="M129" s="53"/>
      <c r="N129" s="53"/>
    </row>
    <row r="130" customFormat="false" ht="16.5" hidden="false" customHeight="true" outlineLevel="0" collapsed="false">
      <c r="A130" s="52" t="n">
        <v>2</v>
      </c>
      <c r="B130" s="53"/>
      <c r="C130" s="53"/>
      <c r="D130" s="53"/>
      <c r="E130" s="59"/>
      <c r="F130" s="59"/>
      <c r="G130" s="60"/>
      <c r="H130" s="57" t="n">
        <f aca="false">IFERROR(E130*G130,"")</f>
        <v>0</v>
      </c>
      <c r="I130" s="53"/>
      <c r="J130" s="55"/>
      <c r="K130" s="55"/>
      <c r="L130" s="55"/>
      <c r="M130" s="53"/>
      <c r="N130" s="53"/>
    </row>
    <row r="131" customFormat="false" ht="16.5" hidden="false" customHeight="true" outlineLevel="0" collapsed="false">
      <c r="A131" s="52" t="n">
        <v>3</v>
      </c>
      <c r="B131" s="53"/>
      <c r="C131" s="53"/>
      <c r="D131" s="53"/>
      <c r="E131" s="59"/>
      <c r="F131" s="59"/>
      <c r="G131" s="60"/>
      <c r="H131" s="57" t="n">
        <f aca="false">IFERROR(E131*G131,"")</f>
        <v>0</v>
      </c>
      <c r="I131" s="53"/>
      <c r="J131" s="55"/>
      <c r="K131" s="55"/>
      <c r="L131" s="55"/>
      <c r="M131" s="53"/>
      <c r="N131" s="53"/>
    </row>
    <row r="132" customFormat="false" ht="16.5" hidden="false" customHeight="true" outlineLevel="0" collapsed="false">
      <c r="A132" s="52" t="n">
        <v>4</v>
      </c>
      <c r="B132" s="53"/>
      <c r="C132" s="53"/>
      <c r="D132" s="53"/>
      <c r="E132" s="59"/>
      <c r="F132" s="59"/>
      <c r="G132" s="60"/>
      <c r="H132" s="57" t="n">
        <f aca="false">IFERROR(E132*G132,"")</f>
        <v>0</v>
      </c>
      <c r="I132" s="53"/>
      <c r="J132" s="55"/>
      <c r="K132" s="55"/>
      <c r="L132" s="55"/>
      <c r="M132" s="53"/>
      <c r="N132" s="53"/>
    </row>
    <row r="133" customFormat="false" ht="16.5" hidden="false" customHeight="true" outlineLevel="0" collapsed="false">
      <c r="A133" s="52" t="n">
        <v>5</v>
      </c>
      <c r="B133" s="53"/>
      <c r="C133" s="53"/>
      <c r="D133" s="53"/>
      <c r="E133" s="59"/>
      <c r="F133" s="59"/>
      <c r="G133" s="60"/>
      <c r="H133" s="57" t="n">
        <f aca="false">IFERROR(E133*G133,"")</f>
        <v>0</v>
      </c>
      <c r="I133" s="53"/>
      <c r="J133" s="55"/>
      <c r="K133" s="55"/>
      <c r="L133" s="55"/>
      <c r="M133" s="53"/>
      <c r="N133" s="53"/>
    </row>
    <row r="134" customFormat="false" ht="16.5" hidden="false" customHeight="true" outlineLevel="0" collapsed="false">
      <c r="A134" s="52" t="n">
        <v>6</v>
      </c>
      <c r="B134" s="53"/>
      <c r="C134" s="53"/>
      <c r="D134" s="53"/>
      <c r="E134" s="59"/>
      <c r="F134" s="59"/>
      <c r="G134" s="60"/>
      <c r="H134" s="57" t="n">
        <f aca="false">IFERROR(E134*G134,"")</f>
        <v>0</v>
      </c>
      <c r="I134" s="53"/>
      <c r="J134" s="55"/>
      <c r="K134" s="55"/>
      <c r="L134" s="55"/>
      <c r="M134" s="53"/>
      <c r="N134" s="53"/>
    </row>
    <row r="135" customFormat="false" ht="16.5" hidden="false" customHeight="true" outlineLevel="0" collapsed="false">
      <c r="A135" s="52" t="n">
        <v>7</v>
      </c>
      <c r="B135" s="53"/>
      <c r="C135" s="53"/>
      <c r="D135" s="53"/>
      <c r="E135" s="59"/>
      <c r="F135" s="59"/>
      <c r="G135" s="60"/>
      <c r="H135" s="57" t="n">
        <f aca="false">IFERROR(E135*G135,"")</f>
        <v>0</v>
      </c>
      <c r="I135" s="53"/>
      <c r="J135" s="55"/>
      <c r="K135" s="55"/>
      <c r="L135" s="55"/>
      <c r="M135" s="53"/>
      <c r="N135" s="53"/>
    </row>
    <row r="136" customFormat="false" ht="16.5" hidden="false" customHeight="true" outlineLevel="0" collapsed="false">
      <c r="A136" s="52" t="n">
        <v>8</v>
      </c>
      <c r="B136" s="53"/>
      <c r="C136" s="53"/>
      <c r="D136" s="53"/>
      <c r="E136" s="59"/>
      <c r="F136" s="59"/>
      <c r="G136" s="60"/>
      <c r="H136" s="57" t="n">
        <f aca="false">IFERROR(E136*G136,"")</f>
        <v>0</v>
      </c>
      <c r="I136" s="53"/>
      <c r="J136" s="55"/>
      <c r="K136" s="55"/>
      <c r="L136" s="55"/>
      <c r="M136" s="53"/>
      <c r="N136" s="53"/>
    </row>
    <row r="137" customFormat="false" ht="16.5" hidden="false" customHeight="true" outlineLevel="0" collapsed="false">
      <c r="A137" s="52" t="n">
        <v>9</v>
      </c>
      <c r="B137" s="53"/>
      <c r="C137" s="53"/>
      <c r="D137" s="53"/>
      <c r="E137" s="59"/>
      <c r="F137" s="59"/>
      <c r="G137" s="60"/>
      <c r="H137" s="57" t="n">
        <f aca="false">IFERROR(E137*G137,"")</f>
        <v>0</v>
      </c>
      <c r="I137" s="53"/>
      <c r="J137" s="55"/>
      <c r="K137" s="55"/>
      <c r="L137" s="55"/>
      <c r="M137" s="53"/>
      <c r="N137" s="53"/>
    </row>
    <row r="138" customFormat="false" ht="16.5" hidden="false" customHeight="true" outlineLevel="0" collapsed="false">
      <c r="A138" s="52" t="n">
        <v>10</v>
      </c>
      <c r="B138" s="53"/>
      <c r="C138" s="53"/>
      <c r="D138" s="53"/>
      <c r="E138" s="59"/>
      <c r="F138" s="59"/>
      <c r="G138" s="60"/>
      <c r="H138" s="57" t="n">
        <f aca="false">IFERROR(E138*G138,"")</f>
        <v>0</v>
      </c>
      <c r="I138" s="53"/>
      <c r="J138" s="55"/>
      <c r="K138" s="55"/>
      <c r="L138" s="55"/>
      <c r="M138" s="53"/>
      <c r="N138" s="53"/>
    </row>
    <row r="139" customFormat="false" ht="16.5" hidden="false" customHeight="true" outlineLevel="0" collapsed="false">
      <c r="A139" s="52" t="n">
        <v>11</v>
      </c>
      <c r="B139" s="53"/>
      <c r="C139" s="53"/>
      <c r="D139" s="53"/>
      <c r="E139" s="59"/>
      <c r="F139" s="59"/>
      <c r="G139" s="60"/>
      <c r="H139" s="57" t="n">
        <f aca="false">IFERROR(E139*G139,"")</f>
        <v>0</v>
      </c>
      <c r="I139" s="53"/>
      <c r="J139" s="55"/>
      <c r="K139" s="55"/>
      <c r="L139" s="55"/>
      <c r="M139" s="53"/>
      <c r="N139" s="53"/>
    </row>
    <row r="140" customFormat="false" ht="16.5" hidden="false" customHeight="true" outlineLevel="0" collapsed="false">
      <c r="A140" s="52" t="n">
        <v>12</v>
      </c>
      <c r="B140" s="53"/>
      <c r="C140" s="53"/>
      <c r="D140" s="53"/>
      <c r="E140" s="59"/>
      <c r="F140" s="59"/>
      <c r="G140" s="60"/>
      <c r="H140" s="57" t="n">
        <f aca="false">IFERROR(E140*G140,"")</f>
        <v>0</v>
      </c>
      <c r="I140" s="53"/>
      <c r="J140" s="55"/>
      <c r="K140" s="55"/>
      <c r="L140" s="55"/>
      <c r="M140" s="53"/>
      <c r="N140" s="53"/>
    </row>
    <row r="141" customFormat="false" ht="16.5" hidden="false" customHeight="true" outlineLevel="0" collapsed="false">
      <c r="A141" s="52" t="n">
        <v>13</v>
      </c>
      <c r="B141" s="53"/>
      <c r="C141" s="53"/>
      <c r="D141" s="53"/>
      <c r="E141" s="59"/>
      <c r="F141" s="59"/>
      <c r="G141" s="60"/>
      <c r="H141" s="57" t="n">
        <f aca="false">IFERROR(E141*G141,"")</f>
        <v>0</v>
      </c>
      <c r="I141" s="53"/>
      <c r="J141" s="55"/>
      <c r="K141" s="55"/>
      <c r="L141" s="55"/>
      <c r="M141" s="53"/>
      <c r="N141" s="53"/>
    </row>
    <row r="142" customFormat="false" ht="16.5" hidden="false" customHeight="true" outlineLevel="0" collapsed="false">
      <c r="A142" s="52" t="n">
        <v>14</v>
      </c>
      <c r="B142" s="53"/>
      <c r="C142" s="53"/>
      <c r="D142" s="53"/>
      <c r="E142" s="59"/>
      <c r="F142" s="59"/>
      <c r="G142" s="60"/>
      <c r="H142" s="57" t="n">
        <f aca="false">IFERROR(E142*G142,"")</f>
        <v>0</v>
      </c>
      <c r="I142" s="53"/>
      <c r="J142" s="55"/>
      <c r="K142" s="55"/>
      <c r="L142" s="55"/>
      <c r="M142" s="53"/>
      <c r="N142" s="53"/>
    </row>
    <row r="143" customFormat="false" ht="16.5" hidden="false" customHeight="true" outlineLevel="0" collapsed="false">
      <c r="A143" s="52" t="n">
        <v>15</v>
      </c>
      <c r="B143" s="53"/>
      <c r="C143" s="53"/>
      <c r="D143" s="53"/>
      <c r="E143" s="59"/>
      <c r="F143" s="59"/>
      <c r="G143" s="60"/>
      <c r="H143" s="57" t="n">
        <f aca="false">IFERROR(E143*G143,"")</f>
        <v>0</v>
      </c>
      <c r="I143" s="53"/>
      <c r="J143" s="55"/>
      <c r="K143" s="55"/>
      <c r="L143" s="55"/>
      <c r="M143" s="53"/>
      <c r="N143" s="53"/>
    </row>
    <row r="144" customFormat="false" ht="16.5" hidden="false" customHeight="true" outlineLevel="0" collapsed="false">
      <c r="A144" s="52" t="n">
        <v>16</v>
      </c>
      <c r="B144" s="53"/>
      <c r="C144" s="53"/>
      <c r="D144" s="53"/>
      <c r="E144" s="59"/>
      <c r="F144" s="59"/>
      <c r="G144" s="60"/>
      <c r="H144" s="57" t="n">
        <f aca="false">IFERROR(E144*G144,"")</f>
        <v>0</v>
      </c>
      <c r="I144" s="53"/>
      <c r="J144" s="55"/>
      <c r="K144" s="55"/>
      <c r="L144" s="55"/>
      <c r="M144" s="53"/>
      <c r="N144" s="53"/>
    </row>
    <row r="145" customFormat="false" ht="16.5" hidden="false" customHeight="true" outlineLevel="0" collapsed="false">
      <c r="A145" s="52" t="n">
        <v>17</v>
      </c>
      <c r="B145" s="53"/>
      <c r="C145" s="53"/>
      <c r="D145" s="53"/>
      <c r="E145" s="59"/>
      <c r="F145" s="59"/>
      <c r="G145" s="60"/>
      <c r="H145" s="57" t="n">
        <f aca="false">IFERROR(E145*G145,"")</f>
        <v>0</v>
      </c>
      <c r="I145" s="53"/>
      <c r="J145" s="55"/>
      <c r="K145" s="55"/>
      <c r="L145" s="55"/>
      <c r="M145" s="53"/>
      <c r="N145" s="53"/>
    </row>
    <row r="146" customFormat="false" ht="16.5" hidden="false" customHeight="true" outlineLevel="0" collapsed="false">
      <c r="A146" s="52" t="n">
        <v>18</v>
      </c>
      <c r="B146" s="53"/>
      <c r="C146" s="53"/>
      <c r="D146" s="53"/>
      <c r="E146" s="59"/>
      <c r="F146" s="59"/>
      <c r="G146" s="60"/>
      <c r="H146" s="57" t="n">
        <f aca="false">IFERROR(E146*G146,"")</f>
        <v>0</v>
      </c>
      <c r="I146" s="53"/>
      <c r="J146" s="55"/>
      <c r="K146" s="55"/>
      <c r="L146" s="55"/>
      <c r="M146" s="53"/>
      <c r="N146" s="53"/>
    </row>
    <row r="147" customFormat="false" ht="16.5" hidden="false" customHeight="true" outlineLevel="0" collapsed="false">
      <c r="A147" s="52" t="n">
        <v>19</v>
      </c>
      <c r="B147" s="53"/>
      <c r="C147" s="53"/>
      <c r="D147" s="53"/>
      <c r="E147" s="59"/>
      <c r="F147" s="59"/>
      <c r="G147" s="60"/>
      <c r="H147" s="57" t="n">
        <f aca="false">IFERROR(E147*G147,"")</f>
        <v>0</v>
      </c>
      <c r="I147" s="53"/>
      <c r="J147" s="55"/>
      <c r="K147" s="55"/>
      <c r="L147" s="55"/>
      <c r="M147" s="53"/>
      <c r="N147" s="53"/>
    </row>
    <row r="148" customFormat="false" ht="16.5" hidden="false" customHeight="true" outlineLevel="0" collapsed="false">
      <c r="A148" s="52" t="n">
        <v>20</v>
      </c>
      <c r="B148" s="53"/>
      <c r="C148" s="53"/>
      <c r="D148" s="53"/>
      <c r="E148" s="59"/>
      <c r="F148" s="59"/>
      <c r="G148" s="60"/>
      <c r="H148" s="57" t="n">
        <f aca="false">IFERROR(E148*G148,"")</f>
        <v>0</v>
      </c>
      <c r="I148" s="53"/>
      <c r="J148" s="55"/>
      <c r="K148" s="55"/>
      <c r="L148" s="55"/>
      <c r="M148" s="53"/>
      <c r="N148" s="53"/>
    </row>
    <row r="149" customFormat="false" ht="16.5" hidden="false" customHeight="true" outlineLevel="0" collapsed="false">
      <c r="A149" s="52" t="n">
        <v>21</v>
      </c>
      <c r="B149" s="53"/>
      <c r="C149" s="53"/>
      <c r="D149" s="53"/>
      <c r="E149" s="59"/>
      <c r="F149" s="59"/>
      <c r="G149" s="60"/>
      <c r="H149" s="57" t="n">
        <f aca="false">IFERROR(E149*G149,"")</f>
        <v>0</v>
      </c>
      <c r="I149" s="53"/>
      <c r="J149" s="55"/>
      <c r="K149" s="55"/>
      <c r="L149" s="55"/>
      <c r="M149" s="53"/>
      <c r="N149" s="53"/>
    </row>
    <row r="150" customFormat="false" ht="16.5" hidden="false" customHeight="true" outlineLevel="0" collapsed="false">
      <c r="A150" s="52" t="n">
        <v>22</v>
      </c>
      <c r="B150" s="53"/>
      <c r="C150" s="53"/>
      <c r="D150" s="53"/>
      <c r="E150" s="59"/>
      <c r="F150" s="59"/>
      <c r="G150" s="60"/>
      <c r="H150" s="57" t="n">
        <f aca="false">IFERROR(E150*G150,"")</f>
        <v>0</v>
      </c>
      <c r="I150" s="53"/>
      <c r="J150" s="55"/>
      <c r="K150" s="55"/>
      <c r="L150" s="55"/>
      <c r="M150" s="53"/>
      <c r="N150" s="53"/>
    </row>
    <row r="151" customFormat="false" ht="16.5" hidden="false" customHeight="true" outlineLevel="0" collapsed="false">
      <c r="A151" s="52" t="n">
        <v>23</v>
      </c>
      <c r="B151" s="53"/>
      <c r="C151" s="53"/>
      <c r="D151" s="53"/>
      <c r="E151" s="59"/>
      <c r="F151" s="59"/>
      <c r="G151" s="60"/>
      <c r="H151" s="57" t="n">
        <f aca="false">IFERROR(E151*G151,"")</f>
        <v>0</v>
      </c>
      <c r="I151" s="53"/>
      <c r="J151" s="55"/>
      <c r="K151" s="55"/>
      <c r="L151" s="55"/>
      <c r="M151" s="53"/>
      <c r="N151" s="53"/>
    </row>
    <row r="152" customFormat="false" ht="16.5" hidden="false" customHeight="true" outlineLevel="0" collapsed="false">
      <c r="A152" s="52" t="n">
        <v>24</v>
      </c>
      <c r="B152" s="53"/>
      <c r="C152" s="53"/>
      <c r="D152" s="53"/>
      <c r="E152" s="59"/>
      <c r="F152" s="59"/>
      <c r="G152" s="60"/>
      <c r="H152" s="57" t="n">
        <f aca="false">IFERROR(E152*G152,"")</f>
        <v>0</v>
      </c>
      <c r="I152" s="53"/>
      <c r="J152" s="55"/>
      <c r="K152" s="55"/>
      <c r="L152" s="55"/>
      <c r="M152" s="53"/>
      <c r="N152" s="53"/>
    </row>
    <row r="153" customFormat="false" ht="16.5" hidden="false" customHeight="true" outlineLevel="0" collapsed="false">
      <c r="A153" s="52" t="n">
        <v>25</v>
      </c>
      <c r="B153" s="53"/>
      <c r="C153" s="53"/>
      <c r="D153" s="53"/>
      <c r="E153" s="59"/>
      <c r="F153" s="59"/>
      <c r="G153" s="60"/>
      <c r="H153" s="57" t="n">
        <f aca="false">IFERROR(E153*G153,"")</f>
        <v>0</v>
      </c>
      <c r="I153" s="53"/>
      <c r="J153" s="55"/>
      <c r="K153" s="55"/>
      <c r="L153" s="55"/>
      <c r="M153" s="53"/>
      <c r="N153" s="53"/>
    </row>
    <row r="154" customFormat="false" ht="16.5" hidden="false" customHeight="true" outlineLevel="0" collapsed="false">
      <c r="A154" s="52" t="n">
        <v>26</v>
      </c>
      <c r="B154" s="53"/>
      <c r="C154" s="53"/>
      <c r="D154" s="53"/>
      <c r="E154" s="59"/>
      <c r="F154" s="59"/>
      <c r="G154" s="60"/>
      <c r="H154" s="57" t="n">
        <f aca="false">IFERROR(E154*G154,"")</f>
        <v>0</v>
      </c>
      <c r="I154" s="53"/>
      <c r="J154" s="55"/>
      <c r="K154" s="55"/>
      <c r="L154" s="55"/>
      <c r="M154" s="53"/>
      <c r="N154" s="53"/>
    </row>
    <row r="155" customFormat="false" ht="16.5" hidden="false" customHeight="true" outlineLevel="0" collapsed="false">
      <c r="A155" s="52" t="n">
        <v>27</v>
      </c>
      <c r="B155" s="53"/>
      <c r="C155" s="53"/>
      <c r="D155" s="53"/>
      <c r="E155" s="59"/>
      <c r="F155" s="59"/>
      <c r="G155" s="60"/>
      <c r="H155" s="57" t="n">
        <f aca="false">IFERROR(E155*G155,"")</f>
        <v>0</v>
      </c>
      <c r="I155" s="53"/>
      <c r="J155" s="55"/>
      <c r="K155" s="55"/>
      <c r="L155" s="55"/>
      <c r="M155" s="53"/>
      <c r="N155" s="53"/>
    </row>
    <row r="156" customFormat="false" ht="16.5" hidden="false" customHeight="true" outlineLevel="0" collapsed="false">
      <c r="A156" s="52" t="n">
        <v>28</v>
      </c>
      <c r="B156" s="53"/>
      <c r="C156" s="53"/>
      <c r="D156" s="53"/>
      <c r="E156" s="59"/>
      <c r="F156" s="59"/>
      <c r="G156" s="60"/>
      <c r="H156" s="57" t="n">
        <f aca="false">IFERROR(E156*G156,"")</f>
        <v>0</v>
      </c>
      <c r="I156" s="53"/>
      <c r="J156" s="55"/>
      <c r="K156" s="55"/>
      <c r="L156" s="55"/>
      <c r="M156" s="53"/>
      <c r="N156" s="53"/>
    </row>
    <row r="157" customFormat="false" ht="16.5" hidden="false" customHeight="true" outlineLevel="0" collapsed="false">
      <c r="A157" s="52" t="n">
        <v>29</v>
      </c>
      <c r="B157" s="53"/>
      <c r="C157" s="53"/>
      <c r="D157" s="53"/>
      <c r="E157" s="59"/>
      <c r="F157" s="59"/>
      <c r="G157" s="60"/>
      <c r="H157" s="57" t="n">
        <f aca="false">IFERROR(E157*G157,"")</f>
        <v>0</v>
      </c>
      <c r="I157" s="53"/>
      <c r="J157" s="55"/>
      <c r="K157" s="55"/>
      <c r="L157" s="55"/>
      <c r="M157" s="53"/>
      <c r="N157" s="53"/>
    </row>
    <row r="158" customFormat="false" ht="16.5" hidden="false" customHeight="true" outlineLevel="0" collapsed="false">
      <c r="A158" s="52" t="n">
        <v>30</v>
      </c>
      <c r="B158" s="53"/>
      <c r="C158" s="53"/>
      <c r="D158" s="53"/>
      <c r="E158" s="59"/>
      <c r="F158" s="59"/>
      <c r="G158" s="60"/>
      <c r="H158" s="57" t="n">
        <f aca="false">IFERROR(E158*G158,"")</f>
        <v>0</v>
      </c>
      <c r="I158" s="53"/>
      <c r="J158" s="55"/>
      <c r="K158" s="55"/>
      <c r="L158" s="55"/>
      <c r="M158" s="53"/>
      <c r="N158" s="53"/>
    </row>
    <row r="159" customFormat="false" ht="16.5" hidden="false" customHeight="true" outlineLevel="0" collapsed="false">
      <c r="A159" s="52" t="n">
        <v>31</v>
      </c>
      <c r="B159" s="53"/>
      <c r="C159" s="53"/>
      <c r="D159" s="53"/>
      <c r="E159" s="59"/>
      <c r="F159" s="59"/>
      <c r="G159" s="60"/>
      <c r="H159" s="57" t="n">
        <f aca="false">IFERROR(E159*G159,"")</f>
        <v>0</v>
      </c>
      <c r="I159" s="53"/>
      <c r="J159" s="55"/>
      <c r="K159" s="55"/>
      <c r="L159" s="55"/>
      <c r="M159" s="53"/>
      <c r="N159" s="53"/>
    </row>
    <row r="160" customFormat="false" ht="16.5" hidden="false" customHeight="true" outlineLevel="0" collapsed="false">
      <c r="A160" s="52" t="n">
        <v>32</v>
      </c>
      <c r="B160" s="53"/>
      <c r="C160" s="53"/>
      <c r="D160" s="53"/>
      <c r="E160" s="59"/>
      <c r="F160" s="59"/>
      <c r="G160" s="60"/>
      <c r="H160" s="57" t="n">
        <f aca="false">IFERROR(E160*G160,"")</f>
        <v>0</v>
      </c>
      <c r="I160" s="53"/>
      <c r="J160" s="55"/>
      <c r="K160" s="55"/>
      <c r="L160" s="55"/>
      <c r="M160" s="53"/>
      <c r="N160" s="53"/>
    </row>
    <row r="161" customFormat="false" ht="16.5" hidden="false" customHeight="true" outlineLevel="0" collapsed="false">
      <c r="A161" s="52" t="n">
        <v>33</v>
      </c>
      <c r="B161" s="53"/>
      <c r="C161" s="53"/>
      <c r="D161" s="53"/>
      <c r="E161" s="59"/>
      <c r="F161" s="59"/>
      <c r="G161" s="60"/>
      <c r="H161" s="57" t="n">
        <f aca="false">IFERROR(E161*G161,"")</f>
        <v>0</v>
      </c>
      <c r="I161" s="53"/>
      <c r="J161" s="55"/>
      <c r="K161" s="55"/>
      <c r="L161" s="55"/>
      <c r="M161" s="53"/>
      <c r="N161" s="53"/>
    </row>
    <row r="162" customFormat="false" ht="16.5" hidden="false" customHeight="true" outlineLevel="0" collapsed="false">
      <c r="A162" s="52" t="n">
        <v>34</v>
      </c>
      <c r="B162" s="53"/>
      <c r="C162" s="53"/>
      <c r="D162" s="53"/>
      <c r="E162" s="59"/>
      <c r="F162" s="59"/>
      <c r="G162" s="60"/>
      <c r="H162" s="57" t="n">
        <f aca="false">IFERROR(E162*G162,"")</f>
        <v>0</v>
      </c>
      <c r="I162" s="53"/>
      <c r="J162" s="55"/>
      <c r="K162" s="55"/>
      <c r="L162" s="55"/>
      <c r="M162" s="53"/>
      <c r="N162" s="53"/>
    </row>
    <row r="163" customFormat="false" ht="16.5" hidden="false" customHeight="true" outlineLevel="0" collapsed="false">
      <c r="A163" s="52" t="n">
        <v>35</v>
      </c>
      <c r="B163" s="53"/>
      <c r="C163" s="53"/>
      <c r="D163" s="53"/>
      <c r="E163" s="59"/>
      <c r="F163" s="59"/>
      <c r="G163" s="60"/>
      <c r="H163" s="57" t="n">
        <f aca="false">IFERROR(E163*G163,"")</f>
        <v>0</v>
      </c>
      <c r="I163" s="53"/>
      <c r="J163" s="55"/>
      <c r="K163" s="55"/>
      <c r="L163" s="55"/>
      <c r="M163" s="53"/>
      <c r="N163" s="53"/>
    </row>
    <row r="164" customFormat="false" ht="16.5" hidden="false" customHeight="true" outlineLevel="0" collapsed="false">
      <c r="A164" s="52" t="n">
        <v>36</v>
      </c>
      <c r="B164" s="53"/>
      <c r="C164" s="53"/>
      <c r="D164" s="53"/>
      <c r="E164" s="59"/>
      <c r="F164" s="59"/>
      <c r="G164" s="60"/>
      <c r="H164" s="57" t="n">
        <f aca="false">IFERROR(E164*G164,"")</f>
        <v>0</v>
      </c>
      <c r="I164" s="53"/>
      <c r="J164" s="55"/>
      <c r="K164" s="55"/>
      <c r="L164" s="55"/>
      <c r="M164" s="53"/>
      <c r="N164" s="53"/>
    </row>
    <row r="165" customFormat="false" ht="16.5" hidden="false" customHeight="true" outlineLevel="0" collapsed="false">
      <c r="A165" s="52" t="n">
        <v>37</v>
      </c>
      <c r="B165" s="53"/>
      <c r="C165" s="53"/>
      <c r="D165" s="53"/>
      <c r="E165" s="59"/>
      <c r="F165" s="59"/>
      <c r="G165" s="60"/>
      <c r="H165" s="57" t="n">
        <f aca="false">IFERROR(E165*G165,"")</f>
        <v>0</v>
      </c>
      <c r="I165" s="53"/>
      <c r="J165" s="55"/>
      <c r="K165" s="55"/>
      <c r="L165" s="55"/>
      <c r="M165" s="53"/>
      <c r="N165" s="53"/>
    </row>
    <row r="166" customFormat="false" ht="16.5" hidden="false" customHeight="true" outlineLevel="0" collapsed="false">
      <c r="A166" s="52" t="n">
        <v>38</v>
      </c>
      <c r="B166" s="53"/>
      <c r="C166" s="53"/>
      <c r="D166" s="53"/>
      <c r="E166" s="59"/>
      <c r="F166" s="59"/>
      <c r="G166" s="60"/>
      <c r="H166" s="57" t="n">
        <f aca="false">IFERROR(E166*G166,"")</f>
        <v>0</v>
      </c>
      <c r="I166" s="53"/>
      <c r="J166" s="55"/>
      <c r="K166" s="55"/>
      <c r="L166" s="55"/>
      <c r="M166" s="53"/>
      <c r="N166" s="53"/>
    </row>
    <row r="167" customFormat="false" ht="16.5" hidden="false" customHeight="true" outlineLevel="0" collapsed="false">
      <c r="A167" s="52" t="n">
        <v>39</v>
      </c>
      <c r="B167" s="53"/>
      <c r="C167" s="53"/>
      <c r="D167" s="53"/>
      <c r="E167" s="59"/>
      <c r="F167" s="59"/>
      <c r="G167" s="60"/>
      <c r="H167" s="57" t="n">
        <f aca="false">IFERROR(E167*G167,"")</f>
        <v>0</v>
      </c>
      <c r="I167" s="53"/>
      <c r="J167" s="55"/>
      <c r="K167" s="55"/>
      <c r="L167" s="55"/>
      <c r="M167" s="53"/>
      <c r="N167" s="53"/>
    </row>
    <row r="168" customFormat="false" ht="16.5" hidden="false" customHeight="true" outlineLevel="0" collapsed="false">
      <c r="A168" s="52" t="n">
        <v>40</v>
      </c>
      <c r="B168" s="53"/>
      <c r="C168" s="53"/>
      <c r="D168" s="53"/>
      <c r="E168" s="59"/>
      <c r="F168" s="59"/>
      <c r="G168" s="60"/>
      <c r="H168" s="57" t="n">
        <f aca="false">IFERROR(E168*G168,"")</f>
        <v>0</v>
      </c>
      <c r="I168" s="53"/>
      <c r="J168" s="55"/>
      <c r="K168" s="55"/>
      <c r="L168" s="55"/>
      <c r="M168" s="53"/>
      <c r="N168" s="53"/>
    </row>
    <row r="169" customFormat="false" ht="16.5" hidden="false" customHeight="true" outlineLevel="0" collapsed="false">
      <c r="A169" s="52" t="n">
        <v>41</v>
      </c>
      <c r="B169" s="53"/>
      <c r="C169" s="53"/>
      <c r="D169" s="53"/>
      <c r="E169" s="59"/>
      <c r="F169" s="59"/>
      <c r="G169" s="60"/>
      <c r="H169" s="57" t="n">
        <f aca="false">IFERROR(E169*G169,"")</f>
        <v>0</v>
      </c>
      <c r="I169" s="53"/>
      <c r="J169" s="55"/>
      <c r="K169" s="55"/>
      <c r="L169" s="55"/>
      <c r="M169" s="53"/>
      <c r="N169" s="53"/>
    </row>
    <row r="170" customFormat="false" ht="16.5" hidden="false" customHeight="true" outlineLevel="0" collapsed="false">
      <c r="A170" s="52" t="n">
        <v>42</v>
      </c>
      <c r="B170" s="53"/>
      <c r="C170" s="53"/>
      <c r="D170" s="53"/>
      <c r="E170" s="59"/>
      <c r="F170" s="59"/>
      <c r="G170" s="60"/>
      <c r="H170" s="57" t="n">
        <f aca="false">IFERROR(E170*G170,"")</f>
        <v>0</v>
      </c>
      <c r="I170" s="53"/>
      <c r="J170" s="55"/>
      <c r="K170" s="55"/>
      <c r="L170" s="55"/>
      <c r="M170" s="53"/>
      <c r="N170" s="53"/>
    </row>
    <row r="171" customFormat="false" ht="16.5" hidden="false" customHeight="true" outlineLevel="0" collapsed="false">
      <c r="A171" s="52" t="n">
        <v>43</v>
      </c>
      <c r="B171" s="53"/>
      <c r="C171" s="53"/>
      <c r="D171" s="53"/>
      <c r="E171" s="59"/>
      <c r="F171" s="59"/>
      <c r="G171" s="60"/>
      <c r="H171" s="57" t="n">
        <f aca="false">IFERROR(E171*G171,"")</f>
        <v>0</v>
      </c>
      <c r="I171" s="53"/>
      <c r="J171" s="55"/>
      <c r="K171" s="55"/>
      <c r="L171" s="55"/>
      <c r="M171" s="53"/>
      <c r="N171" s="53"/>
    </row>
    <row r="172" customFormat="false" ht="16.5" hidden="false" customHeight="true" outlineLevel="0" collapsed="false">
      <c r="A172" s="52" t="n">
        <v>44</v>
      </c>
      <c r="B172" s="53"/>
      <c r="C172" s="53"/>
      <c r="D172" s="53"/>
      <c r="E172" s="59"/>
      <c r="F172" s="59"/>
      <c r="G172" s="60"/>
      <c r="H172" s="57" t="n">
        <f aca="false">IFERROR(E172*G172,"")</f>
        <v>0</v>
      </c>
      <c r="I172" s="53"/>
      <c r="J172" s="55"/>
      <c r="K172" s="55"/>
      <c r="L172" s="55"/>
      <c r="M172" s="53"/>
      <c r="N172" s="53"/>
    </row>
    <row r="173" customFormat="false" ht="16.5" hidden="false" customHeight="true" outlineLevel="0" collapsed="false">
      <c r="A173" s="52" t="n">
        <v>45</v>
      </c>
      <c r="B173" s="53"/>
      <c r="C173" s="53"/>
      <c r="D173" s="53"/>
      <c r="E173" s="59"/>
      <c r="F173" s="59"/>
      <c r="G173" s="60"/>
      <c r="H173" s="57" t="n">
        <f aca="false">IFERROR(E173*G173,"")</f>
        <v>0</v>
      </c>
      <c r="I173" s="53"/>
      <c r="J173" s="55"/>
      <c r="K173" s="55"/>
      <c r="L173" s="55"/>
      <c r="M173" s="53"/>
      <c r="N173" s="53"/>
    </row>
    <row r="174" customFormat="false" ht="16.5" hidden="false" customHeight="true" outlineLevel="0" collapsed="false">
      <c r="A174" s="52" t="n">
        <v>46</v>
      </c>
      <c r="B174" s="53"/>
      <c r="C174" s="53"/>
      <c r="D174" s="53"/>
      <c r="E174" s="59"/>
      <c r="F174" s="59"/>
      <c r="G174" s="60"/>
      <c r="H174" s="57" t="n">
        <f aca="false">IFERROR(E174*G174,"")</f>
        <v>0</v>
      </c>
      <c r="I174" s="53"/>
      <c r="J174" s="55"/>
      <c r="K174" s="55"/>
      <c r="L174" s="55"/>
      <c r="M174" s="53"/>
      <c r="N174" s="53"/>
    </row>
    <row r="175" customFormat="false" ht="16.5" hidden="false" customHeight="true" outlineLevel="0" collapsed="false">
      <c r="A175" s="52" t="n">
        <v>47</v>
      </c>
      <c r="B175" s="53"/>
      <c r="C175" s="53"/>
      <c r="D175" s="53"/>
      <c r="E175" s="59"/>
      <c r="F175" s="59"/>
      <c r="G175" s="60"/>
      <c r="H175" s="57" t="n">
        <f aca="false">IFERROR(E175*G175,"")</f>
        <v>0</v>
      </c>
      <c r="I175" s="53"/>
      <c r="J175" s="55"/>
      <c r="K175" s="55"/>
      <c r="L175" s="55"/>
      <c r="M175" s="53"/>
      <c r="N175" s="53"/>
    </row>
    <row r="176" customFormat="false" ht="16.5" hidden="false" customHeight="true" outlineLevel="0" collapsed="false">
      <c r="A176" s="52" t="n">
        <v>48</v>
      </c>
      <c r="B176" s="53"/>
      <c r="C176" s="53"/>
      <c r="D176" s="53"/>
      <c r="E176" s="59"/>
      <c r="F176" s="59"/>
      <c r="G176" s="60"/>
      <c r="H176" s="57" t="n">
        <f aca="false">IFERROR(E176*G176,"")</f>
        <v>0</v>
      </c>
      <c r="I176" s="53"/>
      <c r="J176" s="55"/>
      <c r="K176" s="55"/>
      <c r="L176" s="55"/>
      <c r="M176" s="53"/>
      <c r="N176" s="53"/>
    </row>
    <row r="177" customFormat="false" ht="16.5" hidden="false" customHeight="true" outlineLevel="0" collapsed="false">
      <c r="A177" s="52" t="n">
        <v>49</v>
      </c>
      <c r="B177" s="53"/>
      <c r="C177" s="53"/>
      <c r="D177" s="53"/>
      <c r="E177" s="59"/>
      <c r="F177" s="59"/>
      <c r="G177" s="60"/>
      <c r="H177" s="57" t="n">
        <f aca="false">IFERROR(E177*G177,"")</f>
        <v>0</v>
      </c>
      <c r="I177" s="53"/>
      <c r="J177" s="55"/>
      <c r="K177" s="55"/>
      <c r="L177" s="55"/>
      <c r="M177" s="53"/>
      <c r="N177" s="53"/>
    </row>
    <row r="178" customFormat="false" ht="16.5" hidden="false" customHeight="true" outlineLevel="0" collapsed="false">
      <c r="A178" s="52" t="n">
        <v>50</v>
      </c>
      <c r="B178" s="53"/>
      <c r="C178" s="53"/>
      <c r="D178" s="53"/>
      <c r="E178" s="59"/>
      <c r="F178" s="59"/>
      <c r="G178" s="60"/>
      <c r="H178" s="57" t="n">
        <f aca="false">IFERROR(E178*G178,"")</f>
        <v>0</v>
      </c>
      <c r="I178" s="53"/>
      <c r="J178" s="55"/>
      <c r="K178" s="55"/>
      <c r="L178" s="55"/>
      <c r="M178" s="53"/>
      <c r="N178" s="53"/>
    </row>
    <row r="179" customFormat="false" ht="15" hidden="false" customHeight="true" outlineLevel="0" collapsed="false">
      <c r="A179" s="56" t="s">
        <v>260</v>
      </c>
      <c r="B179" s="56"/>
      <c r="C179" s="56"/>
      <c r="D179" s="56"/>
      <c r="E179" s="61" t="n">
        <f aca="false">IFERROR(SUM(E129:E178),0)</f>
        <v>0</v>
      </c>
      <c r="F179" s="61" t="n">
        <f aca="false">IFERROR(SUM(F129:F178),0)</f>
        <v>0</v>
      </c>
      <c r="G179" s="62" t="s">
        <v>298</v>
      </c>
      <c r="H179" s="57" t="n">
        <f aca="false">IFERROR(SUM(H129:H178),0)</f>
        <v>0</v>
      </c>
    </row>
    <row r="180" customFormat="false" ht="19.5" hidden="false" customHeight="true" outlineLevel="0" collapsed="false">
      <c r="A180" s="27" t="s">
        <v>299</v>
      </c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</row>
  </sheetData>
  <mergeCells count="16">
    <mergeCell ref="A1:D1"/>
    <mergeCell ref="A2:D2"/>
    <mergeCell ref="A5:D5"/>
    <mergeCell ref="A24:D24"/>
    <mergeCell ref="A34:D34"/>
    <mergeCell ref="A43:D43"/>
    <mergeCell ref="A54:D54"/>
    <mergeCell ref="A68:D68"/>
    <mergeCell ref="A74:D74"/>
    <mergeCell ref="A85:D85"/>
    <mergeCell ref="A86:D86"/>
    <mergeCell ref="A89:I89"/>
    <mergeCell ref="A126:E126"/>
    <mergeCell ref="A127:E127"/>
    <mergeCell ref="A179:D179"/>
    <mergeCell ref="A180:N180"/>
  </mergeCells>
  <dataValidations count="181">
    <dataValidation allowBlank="true" error="Select a valid option from the list." errorStyle="stop" errorTitle="Invalid Input" operator="between" showDropDown="false" showErrorMessage="true" showInputMessage="false" sqref="B6" type="list">
      <formula1>"On Track,At Risk,Delayed,Not Started,Completed"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70" type="list">
      <formula1>"Low,Medium,High,Critical"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71" type="list">
      <formula1>"Green,Amber,Red"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76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77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78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79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80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81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82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83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1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1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2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2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3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3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4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4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5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5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6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6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7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7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8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8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9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9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0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0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1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1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2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2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3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3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4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4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5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5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6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6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7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7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8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8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9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9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0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0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1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1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2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2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3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3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4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4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5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5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6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6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7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7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8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8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9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9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20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20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21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21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22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22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23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23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24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24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25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25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29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29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0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0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1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1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2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2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3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3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4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4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5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5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6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6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7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7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8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8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9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9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0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0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1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1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2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2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3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3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4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4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5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5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6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6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7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7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8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8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9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9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0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0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1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1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2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2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3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3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4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4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5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5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6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6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7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7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8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8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9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9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0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0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1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1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2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2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3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3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4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4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5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5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6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6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7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7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8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8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9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9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0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0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1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1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2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2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3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3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4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4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5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5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6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6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7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7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8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8" type="list">
      <formula1>"Pending,Confirmed,In Production,Shipped,Delivered,On Hold,Cancelled"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4"/>
    <col collapsed="false" customWidth="true" hidden="false" outlineLevel="0" max="3" min="3" style="1" width="10"/>
    <col collapsed="false" customWidth="true" hidden="false" outlineLevel="0" max="4" min="4" style="1" width="38"/>
    <col collapsed="false" customWidth="true" hidden="false" outlineLevel="0" max="5" min="5" style="1" width="20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8"/>
    <col collapsed="false" customWidth="true" hidden="false" outlineLevel="0" max="9" min="9" style="1" width="20"/>
    <col collapsed="false" customWidth="true" hidden="false" outlineLevel="0" max="10" min="10" style="1" width="13"/>
    <col collapsed="false" customWidth="true" hidden="false" outlineLevel="0" max="12" min="11" style="1" width="14"/>
    <col collapsed="false" customWidth="true" hidden="false" outlineLevel="0" max="13" min="13" style="1" width="16"/>
    <col collapsed="false" customWidth="true" hidden="false" outlineLevel="0" max="14" min="14" style="1" width="26"/>
  </cols>
  <sheetData>
    <row r="1" customFormat="false" ht="21.75" hidden="false" customHeight="true" outlineLevel="0" collapsed="false">
      <c r="A1" s="2" t="s">
        <v>343</v>
      </c>
      <c r="B1" s="2"/>
      <c r="C1" s="2"/>
      <c r="D1" s="2"/>
    </row>
    <row r="2" customFormat="false" ht="16.5" hidden="false" customHeight="true" outlineLevel="0" collapsed="false">
      <c r="A2" s="3" t="s">
        <v>87</v>
      </c>
      <c r="B2" s="3"/>
      <c r="C2" s="3"/>
      <c r="D2" s="3"/>
    </row>
    <row r="3" customFormat="false" ht="16.5" hidden="false" customHeight="true" outlineLevel="0" collapsed="false">
      <c r="A3" s="28" t="s">
        <v>88</v>
      </c>
      <c r="B3" s="29"/>
      <c r="C3" s="30" t="s">
        <v>89</v>
      </c>
      <c r="D3" s="31"/>
    </row>
    <row r="4" customFormat="false" ht="4.5" hidden="false" customHeight="true" outlineLevel="0" collapsed="false"/>
    <row r="5" customFormat="false" ht="19.5" hidden="false" customHeight="true" outlineLevel="0" collapsed="false">
      <c r="A5" s="32" t="s">
        <v>90</v>
      </c>
      <c r="B5" s="32"/>
      <c r="C5" s="32"/>
      <c r="D5" s="32"/>
    </row>
    <row r="6" customFormat="false" ht="18" hidden="false" customHeight="true" outlineLevel="0" collapsed="false">
      <c r="A6" s="33" t="s">
        <v>91</v>
      </c>
      <c r="B6" s="34"/>
      <c r="C6" s="35"/>
      <c r="D6" s="36" t="s">
        <v>93</v>
      </c>
    </row>
    <row r="7" customFormat="false" ht="18" hidden="false" customHeight="true" outlineLevel="0" collapsed="false">
      <c r="A7" s="37" t="s">
        <v>94</v>
      </c>
      <c r="B7" s="38"/>
      <c r="C7" s="35" t="s">
        <v>95</v>
      </c>
      <c r="D7" s="36" t="s">
        <v>96</v>
      </c>
    </row>
    <row r="8" customFormat="false" ht="18" hidden="false" customHeight="true" outlineLevel="0" collapsed="false">
      <c r="A8" s="33" t="s">
        <v>97</v>
      </c>
      <c r="B8" s="39" t="n">
        <f aca="false">IFERROR(SUMIF(H91:H125,"Spent",F91:F125),0)</f>
        <v>0</v>
      </c>
      <c r="C8" s="35" t="s">
        <v>95</v>
      </c>
      <c r="D8" s="36" t="s">
        <v>98</v>
      </c>
    </row>
    <row r="9" customFormat="false" ht="18" hidden="false" customHeight="true" outlineLevel="0" collapsed="false">
      <c r="A9" s="37" t="s">
        <v>99</v>
      </c>
      <c r="B9" s="39" t="n">
        <f aca="false">IFERROR(SUMIF(H91:H125,"Committed",F91:F125),0)</f>
        <v>0</v>
      </c>
      <c r="C9" s="35" t="s">
        <v>95</v>
      </c>
      <c r="D9" s="36" t="s">
        <v>98</v>
      </c>
    </row>
    <row r="10" customFormat="false" ht="18" hidden="false" customHeight="true" outlineLevel="0" collapsed="false">
      <c r="A10" s="33" t="s">
        <v>100</v>
      </c>
      <c r="B10" s="40" t="n">
        <f aca="false">IFERROR(B7-B8-B9,"")</f>
        <v>0</v>
      </c>
      <c r="C10" s="35" t="s">
        <v>95</v>
      </c>
      <c r="D10" s="36" t="s">
        <v>101</v>
      </c>
    </row>
    <row r="11" customFormat="false" ht="18" hidden="false" customHeight="true" outlineLevel="0" collapsed="false">
      <c r="A11" s="37" t="s">
        <v>102</v>
      </c>
      <c r="B11" s="41" t="str">
        <f aca="false">IFERROR(B8/B7,"")</f>
        <v/>
      </c>
      <c r="C11" s="35" t="s">
        <v>103</v>
      </c>
      <c r="D11" s="36" t="s">
        <v>104</v>
      </c>
    </row>
    <row r="12" customFormat="false" ht="18" hidden="false" customHeight="true" outlineLevel="0" collapsed="false">
      <c r="A12" s="33" t="s">
        <v>105</v>
      </c>
      <c r="B12" s="42"/>
      <c r="C12" s="35" t="s">
        <v>106</v>
      </c>
      <c r="D12" s="36" t="s">
        <v>107</v>
      </c>
    </row>
    <row r="13" customFormat="false" ht="18" hidden="false" customHeight="true" outlineLevel="0" collapsed="false">
      <c r="A13" s="37" t="s">
        <v>108</v>
      </c>
      <c r="B13" s="42"/>
      <c r="C13" s="35" t="s">
        <v>106</v>
      </c>
      <c r="D13" s="36" t="s">
        <v>109</v>
      </c>
    </row>
    <row r="14" customFormat="false" ht="18" hidden="false" customHeight="true" outlineLevel="0" collapsed="false">
      <c r="A14" s="33" t="s">
        <v>110</v>
      </c>
      <c r="B14" s="41" t="str">
        <f aca="false">IFERROR(B13/B12,"")</f>
        <v/>
      </c>
      <c r="C14" s="35" t="s">
        <v>103</v>
      </c>
      <c r="D14" s="36" t="s">
        <v>104</v>
      </c>
    </row>
    <row r="15" customFormat="false" ht="18" hidden="false" customHeight="true" outlineLevel="0" collapsed="false">
      <c r="A15" s="37" t="s">
        <v>111</v>
      </c>
      <c r="B15" s="31"/>
      <c r="C15" s="35" t="s">
        <v>112</v>
      </c>
      <c r="D15" s="36" t="s">
        <v>113</v>
      </c>
    </row>
    <row r="16" customFormat="false" ht="18" hidden="false" customHeight="true" outlineLevel="0" collapsed="false">
      <c r="A16" s="33" t="s">
        <v>114</v>
      </c>
      <c r="B16" s="31"/>
      <c r="C16" s="35" t="s">
        <v>112</v>
      </c>
      <c r="D16" s="36" t="s">
        <v>115</v>
      </c>
    </row>
    <row r="17" customFormat="false" ht="18" hidden="false" customHeight="true" outlineLevel="0" collapsed="false">
      <c r="A17" s="37" t="s">
        <v>116</v>
      </c>
      <c r="B17" s="41" t="str">
        <f aca="false">IFERROR(B16/B15,"")</f>
        <v/>
      </c>
      <c r="C17" s="35" t="s">
        <v>103</v>
      </c>
      <c r="D17" s="36" t="s">
        <v>104</v>
      </c>
    </row>
    <row r="18" customFormat="false" ht="18" hidden="false" customHeight="true" outlineLevel="0" collapsed="false">
      <c r="A18" s="33" t="s">
        <v>117</v>
      </c>
      <c r="B18" s="29"/>
      <c r="C18" s="35" t="s">
        <v>118</v>
      </c>
      <c r="D18" s="36" t="s">
        <v>119</v>
      </c>
    </row>
    <row r="19" customFormat="false" ht="18" hidden="false" customHeight="true" outlineLevel="0" collapsed="false">
      <c r="A19" s="37" t="s">
        <v>120</v>
      </c>
      <c r="B19" s="29"/>
      <c r="C19" s="35" t="s">
        <v>118</v>
      </c>
      <c r="D19" s="36" t="s">
        <v>121</v>
      </c>
    </row>
    <row r="20" customFormat="false" ht="18" hidden="false" customHeight="true" outlineLevel="0" collapsed="false">
      <c r="A20" s="33" t="s">
        <v>122</v>
      </c>
      <c r="B20" s="29"/>
      <c r="C20" s="35" t="s">
        <v>118</v>
      </c>
      <c r="D20" s="36" t="s">
        <v>123</v>
      </c>
    </row>
    <row r="21" customFormat="false" ht="18" hidden="false" customHeight="true" outlineLevel="0" collapsed="false">
      <c r="A21" s="37" t="s">
        <v>124</v>
      </c>
      <c r="B21" s="31"/>
      <c r="C21" s="35"/>
      <c r="D21" s="36" t="s">
        <v>126</v>
      </c>
    </row>
    <row r="22" customFormat="false" ht="18" hidden="false" customHeight="true" outlineLevel="0" collapsed="false">
      <c r="A22" s="33" t="s">
        <v>127</v>
      </c>
      <c r="B22" s="31"/>
      <c r="C22" s="35"/>
      <c r="D22" s="36" t="s">
        <v>129</v>
      </c>
    </row>
    <row r="23" customFormat="false" ht="4.5" hidden="false" customHeight="true" outlineLevel="0" collapsed="false"/>
    <row r="24" customFormat="false" ht="19.5" hidden="false" customHeight="true" outlineLevel="0" collapsed="false">
      <c r="A24" s="32" t="s">
        <v>130</v>
      </c>
      <c r="B24" s="32"/>
      <c r="C24" s="32"/>
      <c r="D24" s="32"/>
    </row>
    <row r="25" customFormat="false" ht="16.5" hidden="false" customHeight="true" outlineLevel="0" collapsed="false">
      <c r="A25" s="37" t="s">
        <v>131</v>
      </c>
      <c r="B25" s="31"/>
      <c r="C25" s="35" t="s">
        <v>133</v>
      </c>
      <c r="D25" s="36" t="s">
        <v>134</v>
      </c>
    </row>
    <row r="26" customFormat="false" ht="16.5" hidden="false" customHeight="true" outlineLevel="0" collapsed="false">
      <c r="A26" s="33" t="s">
        <v>135</v>
      </c>
      <c r="B26" s="31"/>
      <c r="C26" s="35" t="s">
        <v>133</v>
      </c>
      <c r="D26" s="36" t="s">
        <v>134</v>
      </c>
    </row>
    <row r="27" customFormat="false" ht="16.5" hidden="false" customHeight="true" outlineLevel="0" collapsed="false">
      <c r="A27" s="37" t="s">
        <v>137</v>
      </c>
      <c r="B27" s="31"/>
      <c r="C27" s="35" t="s">
        <v>133</v>
      </c>
      <c r="D27" s="36" t="s">
        <v>134</v>
      </c>
    </row>
    <row r="28" customFormat="false" ht="16.5" hidden="false" customHeight="true" outlineLevel="0" collapsed="false">
      <c r="A28" s="33" t="s">
        <v>139</v>
      </c>
      <c r="B28" s="31"/>
      <c r="C28" s="35" t="s">
        <v>133</v>
      </c>
      <c r="D28" s="36" t="s">
        <v>134</v>
      </c>
    </row>
    <row r="29" customFormat="false" ht="16.5" hidden="false" customHeight="true" outlineLevel="0" collapsed="false">
      <c r="A29" s="37" t="s">
        <v>141</v>
      </c>
      <c r="B29" s="31"/>
      <c r="C29" s="35" t="s">
        <v>133</v>
      </c>
      <c r="D29" s="36" t="s">
        <v>134</v>
      </c>
    </row>
    <row r="30" customFormat="false" ht="16.5" hidden="false" customHeight="true" outlineLevel="0" collapsed="false">
      <c r="A30" s="33" t="s">
        <v>143</v>
      </c>
      <c r="B30" s="31"/>
      <c r="C30" s="35" t="s">
        <v>133</v>
      </c>
      <c r="D30" s="36" t="s">
        <v>134</v>
      </c>
    </row>
    <row r="31" customFormat="false" ht="16.5" hidden="false" customHeight="true" outlineLevel="0" collapsed="false">
      <c r="A31" s="37" t="s">
        <v>144</v>
      </c>
      <c r="B31" s="31"/>
      <c r="C31" s="35" t="s">
        <v>133</v>
      </c>
      <c r="D31" s="36" t="s">
        <v>134</v>
      </c>
    </row>
    <row r="32" customFormat="false" ht="16.5" hidden="false" customHeight="true" outlineLevel="0" collapsed="false">
      <c r="A32" s="33" t="s">
        <v>145</v>
      </c>
      <c r="B32" s="31"/>
      <c r="C32" s="35" t="s">
        <v>133</v>
      </c>
      <c r="D32" s="36" t="s">
        <v>134</v>
      </c>
    </row>
    <row r="33" customFormat="false" ht="4.5" hidden="false" customHeight="true" outlineLevel="0" collapsed="false"/>
    <row r="34" customFormat="false" ht="19.5" hidden="false" customHeight="true" outlineLevel="0" collapsed="false">
      <c r="A34" s="32" t="s">
        <v>146</v>
      </c>
      <c r="B34" s="32"/>
      <c r="C34" s="32"/>
      <c r="D34" s="32"/>
    </row>
    <row r="35" customFormat="false" ht="18" hidden="false" customHeight="true" outlineLevel="0" collapsed="false">
      <c r="A35" s="33" t="s">
        <v>147</v>
      </c>
      <c r="B35" s="40" t="n">
        <f aca="false">IFERROR(COUNTIF(M129:M178,"Pending"),0)</f>
        <v>0</v>
      </c>
      <c r="C35" s="35" t="s">
        <v>106</v>
      </c>
      <c r="D35" s="36" t="s">
        <v>148</v>
      </c>
    </row>
    <row r="36" customFormat="false" ht="18" hidden="false" customHeight="true" outlineLevel="0" collapsed="false">
      <c r="A36" s="37" t="s">
        <v>149</v>
      </c>
      <c r="B36" s="40" t="n">
        <f aca="false">IFERROR(COUNTIF(M129:M178,"Confirmed"),0)</f>
        <v>0</v>
      </c>
      <c r="C36" s="35" t="s">
        <v>106</v>
      </c>
      <c r="D36" s="36" t="s">
        <v>148</v>
      </c>
    </row>
    <row r="37" customFormat="false" ht="18" hidden="false" customHeight="true" outlineLevel="0" collapsed="false">
      <c r="A37" s="33" t="s">
        <v>150</v>
      </c>
      <c r="B37" s="40" t="n">
        <f aca="false">IFERROR(COUNTIF(M129:M178,"In Production"),0)</f>
        <v>0</v>
      </c>
      <c r="C37" s="35" t="s">
        <v>106</v>
      </c>
      <c r="D37" s="36" t="s">
        <v>148</v>
      </c>
    </row>
    <row r="38" customFormat="false" ht="18" hidden="false" customHeight="true" outlineLevel="0" collapsed="false">
      <c r="A38" s="37" t="s">
        <v>151</v>
      </c>
      <c r="B38" s="40" t="n">
        <f aca="false">IFERROR(COUNTIF(M129:M178,"Shipped"),0)</f>
        <v>0</v>
      </c>
      <c r="C38" s="35" t="s">
        <v>106</v>
      </c>
      <c r="D38" s="36" t="s">
        <v>148</v>
      </c>
    </row>
    <row r="39" customFormat="false" ht="18" hidden="false" customHeight="true" outlineLevel="0" collapsed="false">
      <c r="A39" s="33" t="s">
        <v>152</v>
      </c>
      <c r="B39" s="40" t="n">
        <f aca="false">IFERROR(COUNTIF(M129:M178,"Delivered"),0)</f>
        <v>0</v>
      </c>
      <c r="C39" s="35" t="s">
        <v>106</v>
      </c>
      <c r="D39" s="36" t="s">
        <v>148</v>
      </c>
    </row>
    <row r="40" customFormat="false" ht="18" hidden="false" customHeight="true" outlineLevel="0" collapsed="false">
      <c r="A40" s="37" t="s">
        <v>153</v>
      </c>
      <c r="B40" s="40" t="n">
        <f aca="false">IFERROR(SUM(B35:B39),0)</f>
        <v>0</v>
      </c>
      <c r="C40" s="35" t="s">
        <v>106</v>
      </c>
      <c r="D40" s="36" t="s">
        <v>154</v>
      </c>
    </row>
    <row r="41" customFormat="false" ht="18" hidden="false" customHeight="true" outlineLevel="0" collapsed="false">
      <c r="A41" s="33" t="s">
        <v>155</v>
      </c>
      <c r="B41" s="43"/>
      <c r="C41" s="35" t="s">
        <v>103</v>
      </c>
      <c r="D41" s="36" t="s">
        <v>156</v>
      </c>
    </row>
    <row r="42" customFormat="false" ht="4.5" hidden="false" customHeight="true" outlineLevel="0" collapsed="false"/>
    <row r="43" customFormat="false" ht="19.5" hidden="false" customHeight="true" outlineLevel="0" collapsed="false">
      <c r="A43" s="32" t="s">
        <v>157</v>
      </c>
      <c r="B43" s="32"/>
      <c r="C43" s="32"/>
      <c r="D43" s="32"/>
    </row>
    <row r="44" customFormat="false" ht="18" hidden="false" customHeight="true" outlineLevel="0" collapsed="false">
      <c r="A44" s="33" t="s">
        <v>158</v>
      </c>
      <c r="B44" s="42"/>
      <c r="C44" s="35" t="s">
        <v>159</v>
      </c>
      <c r="D44" s="36" t="s">
        <v>160</v>
      </c>
    </row>
    <row r="45" customFormat="false" ht="18" hidden="false" customHeight="true" outlineLevel="0" collapsed="false">
      <c r="A45" s="37" t="s">
        <v>161</v>
      </c>
      <c r="B45" s="42"/>
      <c r="C45" s="35" t="s">
        <v>159</v>
      </c>
      <c r="D45" s="36" t="s">
        <v>162</v>
      </c>
    </row>
    <row r="46" customFormat="false" ht="18" hidden="false" customHeight="true" outlineLevel="0" collapsed="false">
      <c r="A46" s="33" t="s">
        <v>163</v>
      </c>
      <c r="B46" s="40" t="n">
        <f aca="false">IFERROR(B44+B45,"")</f>
        <v>0</v>
      </c>
      <c r="C46" s="35" t="s">
        <v>159</v>
      </c>
      <c r="D46" s="36" t="s">
        <v>104</v>
      </c>
    </row>
    <row r="47" customFormat="false" ht="18" hidden="false" customHeight="true" outlineLevel="0" collapsed="false">
      <c r="A47" s="37" t="s">
        <v>164</v>
      </c>
      <c r="B47" s="42"/>
      <c r="C47" s="35" t="s">
        <v>159</v>
      </c>
      <c r="D47" s="36" t="s">
        <v>165</v>
      </c>
    </row>
    <row r="48" customFormat="false" ht="18" hidden="false" customHeight="true" outlineLevel="0" collapsed="false">
      <c r="A48" s="33" t="s">
        <v>166</v>
      </c>
      <c r="B48" s="41" t="str">
        <f aca="false">IFERROR((B44+B45)/B47,"")</f>
        <v/>
      </c>
      <c r="C48" s="35" t="s">
        <v>103</v>
      </c>
      <c r="D48" s="36" t="s">
        <v>104</v>
      </c>
    </row>
    <row r="49" customFormat="false" ht="18" hidden="false" customHeight="true" outlineLevel="0" collapsed="false">
      <c r="A49" s="37" t="s">
        <v>167</v>
      </c>
      <c r="B49" s="31"/>
      <c r="C49" s="35" t="s">
        <v>169</v>
      </c>
      <c r="D49" s="36" t="s">
        <v>170</v>
      </c>
    </row>
    <row r="50" customFormat="false" ht="18" hidden="false" customHeight="true" outlineLevel="0" collapsed="false">
      <c r="A50" s="33" t="s">
        <v>171</v>
      </c>
      <c r="B50" s="31"/>
      <c r="C50" s="35" t="s">
        <v>169</v>
      </c>
      <c r="D50" s="36" t="s">
        <v>173</v>
      </c>
    </row>
    <row r="51" customFormat="false" ht="18" hidden="false" customHeight="true" outlineLevel="0" collapsed="false">
      <c r="A51" s="37" t="s">
        <v>174</v>
      </c>
      <c r="B51" s="31"/>
      <c r="C51" s="35" t="s">
        <v>169</v>
      </c>
      <c r="D51" s="36"/>
    </row>
    <row r="52" customFormat="false" ht="18" hidden="false" customHeight="true" outlineLevel="0" collapsed="false">
      <c r="A52" s="33" t="s">
        <v>176</v>
      </c>
      <c r="B52" s="31"/>
      <c r="C52" s="35" t="s">
        <v>169</v>
      </c>
      <c r="D52" s="36"/>
    </row>
    <row r="53" customFormat="false" ht="4.5" hidden="false" customHeight="true" outlineLevel="0" collapsed="false"/>
    <row r="54" customFormat="false" ht="19.5" hidden="false" customHeight="true" outlineLevel="0" collapsed="false">
      <c r="A54" s="32" t="s">
        <v>177</v>
      </c>
      <c r="B54" s="32"/>
      <c r="C54" s="32"/>
      <c r="D54" s="32"/>
    </row>
    <row r="55" customFormat="false" ht="18" hidden="false" customHeight="true" outlineLevel="0" collapsed="false">
      <c r="A55" s="33" t="s">
        <v>178</v>
      </c>
      <c r="B55" s="42"/>
      <c r="C55" s="35" t="s">
        <v>106</v>
      </c>
      <c r="D55" s="36" t="s">
        <v>179</v>
      </c>
    </row>
    <row r="56" customFormat="false" ht="18" hidden="false" customHeight="true" outlineLevel="0" collapsed="false">
      <c r="A56" s="37" t="s">
        <v>180</v>
      </c>
      <c r="B56" s="42"/>
      <c r="C56" s="35" t="s">
        <v>106</v>
      </c>
      <c r="D56" s="36" t="s">
        <v>181</v>
      </c>
    </row>
    <row r="57" customFormat="false" ht="18" hidden="false" customHeight="true" outlineLevel="0" collapsed="false">
      <c r="A57" s="33" t="s">
        <v>182</v>
      </c>
      <c r="B57" s="42"/>
      <c r="C57" s="35" t="s">
        <v>106</v>
      </c>
      <c r="D57" s="36" t="s">
        <v>183</v>
      </c>
    </row>
    <row r="58" customFormat="false" ht="18" hidden="false" customHeight="true" outlineLevel="0" collapsed="false">
      <c r="A58" s="37" t="s">
        <v>184</v>
      </c>
      <c r="B58" s="42"/>
      <c r="C58" s="35" t="s">
        <v>106</v>
      </c>
      <c r="D58" s="36" t="s">
        <v>185</v>
      </c>
    </row>
    <row r="59" customFormat="false" ht="18" hidden="false" customHeight="true" outlineLevel="0" collapsed="false">
      <c r="A59" s="33" t="s">
        <v>186</v>
      </c>
      <c r="B59" s="41" t="str">
        <f aca="false">IFERROR(B56/B55,"")</f>
        <v/>
      </c>
      <c r="C59" s="35" t="s">
        <v>103</v>
      </c>
      <c r="D59" s="36" t="s">
        <v>104</v>
      </c>
    </row>
    <row r="60" customFormat="false" ht="18" hidden="false" customHeight="true" outlineLevel="0" collapsed="false">
      <c r="A60" s="37" t="s">
        <v>187</v>
      </c>
      <c r="B60" s="41" t="str">
        <f aca="false">IFERROR(B57/B55,"")</f>
        <v/>
      </c>
      <c r="C60" s="35" t="s">
        <v>103</v>
      </c>
      <c r="D60" s="36" t="s">
        <v>104</v>
      </c>
    </row>
    <row r="61" customFormat="false" ht="18" hidden="false" customHeight="true" outlineLevel="0" collapsed="false">
      <c r="A61" s="33" t="s">
        <v>188</v>
      </c>
      <c r="B61" s="41" t="str">
        <f aca="false">IFERROR(B58/B55,"")</f>
        <v/>
      </c>
      <c r="C61" s="35" t="s">
        <v>103</v>
      </c>
      <c r="D61" s="36" t="s">
        <v>104</v>
      </c>
    </row>
    <row r="62" customFormat="false" ht="18" hidden="false" customHeight="true" outlineLevel="0" collapsed="false">
      <c r="A62" s="37" t="s">
        <v>189</v>
      </c>
      <c r="B62" s="31"/>
      <c r="C62" s="35"/>
      <c r="D62" s="36" t="s">
        <v>191</v>
      </c>
    </row>
    <row r="63" customFormat="false" ht="18" hidden="false" customHeight="true" outlineLevel="0" collapsed="false">
      <c r="A63" s="33" t="s">
        <v>192</v>
      </c>
      <c r="B63" s="31"/>
      <c r="C63" s="35"/>
      <c r="D63" s="36"/>
    </row>
    <row r="64" customFormat="false" ht="18" hidden="false" customHeight="true" outlineLevel="0" collapsed="false">
      <c r="A64" s="37" t="s">
        <v>194</v>
      </c>
      <c r="B64" s="31"/>
      <c r="C64" s="35"/>
      <c r="D64" s="36"/>
    </row>
    <row r="65" customFormat="false" ht="18" hidden="false" customHeight="true" outlineLevel="0" collapsed="false">
      <c r="A65" s="33" t="s">
        <v>196</v>
      </c>
      <c r="B65" s="31"/>
      <c r="C65" s="35"/>
      <c r="D65" s="36"/>
    </row>
    <row r="66" customFormat="false" ht="18" hidden="false" customHeight="true" outlineLevel="0" collapsed="false">
      <c r="A66" s="37" t="s">
        <v>198</v>
      </c>
      <c r="B66" s="31"/>
      <c r="C66" s="35"/>
      <c r="D66" s="36"/>
    </row>
    <row r="67" customFormat="false" ht="4.5" hidden="false" customHeight="true" outlineLevel="0" collapsed="false"/>
    <row r="68" customFormat="false" ht="19.5" hidden="false" customHeight="true" outlineLevel="0" collapsed="false">
      <c r="A68" s="32" t="s">
        <v>199</v>
      </c>
      <c r="B68" s="32"/>
      <c r="C68" s="32"/>
      <c r="D68" s="32"/>
    </row>
    <row r="69" customFormat="false" ht="18" hidden="false" customHeight="true" outlineLevel="0" collapsed="false">
      <c r="A69" s="33" t="s">
        <v>200</v>
      </c>
      <c r="B69" s="43"/>
      <c r="C69" s="35" t="s">
        <v>103</v>
      </c>
      <c r="D69" s="36" t="s">
        <v>201</v>
      </c>
    </row>
    <row r="70" customFormat="false" ht="18" hidden="false" customHeight="true" outlineLevel="0" collapsed="false">
      <c r="A70" s="37" t="s">
        <v>202</v>
      </c>
      <c r="B70" s="31"/>
      <c r="C70" s="35"/>
      <c r="D70" s="36" t="s">
        <v>204</v>
      </c>
    </row>
    <row r="71" customFormat="false" ht="18" hidden="false" customHeight="true" outlineLevel="0" collapsed="false">
      <c r="A71" s="33" t="s">
        <v>205</v>
      </c>
      <c r="B71" s="31"/>
      <c r="C71" s="35"/>
      <c r="D71" s="36" t="s">
        <v>206</v>
      </c>
    </row>
    <row r="72" customFormat="false" ht="18" hidden="false" customHeight="true" outlineLevel="0" collapsed="false">
      <c r="A72" s="37" t="s">
        <v>207</v>
      </c>
      <c r="B72" s="31"/>
      <c r="C72" s="35"/>
      <c r="D72" s="36" t="s">
        <v>208</v>
      </c>
    </row>
    <row r="73" customFormat="false" ht="4.5" hidden="false" customHeight="true" outlineLevel="0" collapsed="false"/>
    <row r="74" customFormat="false" ht="19.5" hidden="false" customHeight="true" outlineLevel="0" collapsed="false">
      <c r="A74" s="44" t="s">
        <v>209</v>
      </c>
      <c r="B74" s="44"/>
      <c r="C74" s="44"/>
      <c r="D74" s="44"/>
    </row>
    <row r="75" customFormat="false" ht="18" hidden="false" customHeight="true" outlineLevel="0" collapsed="false">
      <c r="A75" s="45" t="s">
        <v>210</v>
      </c>
      <c r="B75" s="45" t="s">
        <v>211</v>
      </c>
      <c r="C75" s="45" t="s">
        <v>212</v>
      </c>
      <c r="D75" s="45" t="s">
        <v>213</v>
      </c>
    </row>
    <row r="76" customFormat="false" ht="30" hidden="false" customHeight="true" outlineLevel="0" collapsed="false">
      <c r="A76" s="46" t="n">
        <v>1</v>
      </c>
      <c r="B76" s="47"/>
      <c r="C76" s="48"/>
      <c r="D76" s="48"/>
    </row>
    <row r="77" customFormat="false" ht="30" hidden="false" customHeight="true" outlineLevel="0" collapsed="false">
      <c r="A77" s="49" t="n">
        <v>2</v>
      </c>
      <c r="B77" s="47"/>
      <c r="C77" s="48"/>
      <c r="D77" s="48"/>
    </row>
    <row r="78" customFormat="false" ht="30" hidden="false" customHeight="true" outlineLevel="0" collapsed="false">
      <c r="A78" s="46" t="n">
        <v>3</v>
      </c>
      <c r="B78" s="47"/>
      <c r="C78" s="48"/>
      <c r="D78" s="48"/>
    </row>
    <row r="79" customFormat="false" ht="30" hidden="false" customHeight="true" outlineLevel="0" collapsed="false">
      <c r="A79" s="49" t="n">
        <v>4</v>
      </c>
      <c r="B79" s="47"/>
      <c r="C79" s="48"/>
      <c r="D79" s="48"/>
    </row>
    <row r="80" customFormat="false" ht="30" hidden="false" customHeight="true" outlineLevel="0" collapsed="false">
      <c r="A80" s="46" t="n">
        <v>5</v>
      </c>
      <c r="B80" s="47"/>
      <c r="C80" s="48"/>
      <c r="D80" s="48"/>
    </row>
    <row r="81" customFormat="false" ht="30" hidden="false" customHeight="true" outlineLevel="0" collapsed="false">
      <c r="A81" s="49" t="n">
        <v>6</v>
      </c>
      <c r="B81" s="47"/>
      <c r="C81" s="48"/>
      <c r="D81" s="48"/>
    </row>
    <row r="82" customFormat="false" ht="30" hidden="false" customHeight="true" outlineLevel="0" collapsed="false">
      <c r="A82" s="46" t="n">
        <v>7</v>
      </c>
      <c r="B82" s="47"/>
      <c r="C82" s="48"/>
      <c r="D82" s="48"/>
    </row>
    <row r="83" customFormat="false" ht="30" hidden="false" customHeight="true" outlineLevel="0" collapsed="false">
      <c r="A83" s="49" t="n">
        <v>8</v>
      </c>
      <c r="B83" s="47"/>
      <c r="C83" s="48"/>
      <c r="D83" s="48"/>
    </row>
    <row r="84" customFormat="false" ht="4.5" hidden="false" customHeight="true" outlineLevel="0" collapsed="false"/>
    <row r="85" customFormat="false" ht="13.5" hidden="false" customHeight="true" outlineLevel="0" collapsed="false">
      <c r="A85" s="26" t="s">
        <v>219</v>
      </c>
      <c r="B85" s="26"/>
      <c r="C85" s="26"/>
      <c r="D85" s="26"/>
    </row>
    <row r="86" customFormat="false" ht="13.5" hidden="false" customHeight="true" outlineLevel="0" collapsed="false">
      <c r="A86" s="50" t="s">
        <v>220</v>
      </c>
      <c r="B86" s="50"/>
      <c r="C86" s="50"/>
      <c r="D86" s="50"/>
    </row>
    <row r="87" customFormat="false" ht="7.5" hidden="false" customHeight="true" outlineLevel="0" collapsed="false"/>
    <row r="88" customFormat="false" ht="7.5" hidden="false" customHeight="true" outlineLevel="0" collapsed="false"/>
    <row r="89" customFormat="false" ht="19.5" hidden="false" customHeight="true" outlineLevel="0" collapsed="false">
      <c r="A89" s="32" t="s">
        <v>221</v>
      </c>
      <c r="B89" s="32"/>
      <c r="C89" s="32"/>
      <c r="D89" s="32"/>
      <c r="E89" s="32"/>
      <c r="F89" s="32"/>
      <c r="G89" s="32"/>
      <c r="H89" s="32"/>
      <c r="I89" s="32"/>
    </row>
    <row r="90" customFormat="false" ht="30" hidden="false" customHeight="true" outlineLevel="0" collapsed="false">
      <c r="A90" s="51" t="s">
        <v>106</v>
      </c>
      <c r="B90" s="51" t="s">
        <v>222</v>
      </c>
      <c r="C90" s="51" t="s">
        <v>223</v>
      </c>
      <c r="D90" s="51" t="s">
        <v>224</v>
      </c>
      <c r="E90" s="51" t="s">
        <v>225</v>
      </c>
      <c r="F90" s="51" t="s">
        <v>226</v>
      </c>
      <c r="G90" s="51" t="s">
        <v>227</v>
      </c>
      <c r="H90" s="51" t="s">
        <v>228</v>
      </c>
      <c r="I90" s="51" t="s">
        <v>229</v>
      </c>
    </row>
    <row r="91" customFormat="false" ht="16.5" hidden="false" customHeight="true" outlineLevel="0" collapsed="false">
      <c r="A91" s="52" t="n">
        <v>1</v>
      </c>
      <c r="B91" s="53"/>
      <c r="C91" s="53"/>
      <c r="D91" s="53"/>
      <c r="E91" s="53"/>
      <c r="F91" s="54"/>
      <c r="G91" s="55"/>
      <c r="H91" s="53"/>
      <c r="I91" s="53"/>
    </row>
    <row r="92" customFormat="false" ht="16.5" hidden="false" customHeight="true" outlineLevel="0" collapsed="false">
      <c r="A92" s="52" t="n">
        <v>2</v>
      </c>
      <c r="B92" s="53"/>
      <c r="C92" s="53"/>
      <c r="D92" s="53"/>
      <c r="E92" s="53"/>
      <c r="F92" s="54"/>
      <c r="G92" s="55"/>
      <c r="H92" s="53"/>
      <c r="I92" s="53"/>
    </row>
    <row r="93" customFormat="false" ht="16.5" hidden="false" customHeight="true" outlineLevel="0" collapsed="false">
      <c r="A93" s="52" t="n">
        <v>3</v>
      </c>
      <c r="B93" s="53"/>
      <c r="C93" s="53"/>
      <c r="D93" s="53"/>
      <c r="E93" s="53"/>
      <c r="F93" s="54"/>
      <c r="G93" s="55"/>
      <c r="H93" s="53"/>
      <c r="I93" s="53"/>
    </row>
    <row r="94" customFormat="false" ht="16.5" hidden="false" customHeight="true" outlineLevel="0" collapsed="false">
      <c r="A94" s="52" t="n">
        <v>4</v>
      </c>
      <c r="B94" s="53"/>
      <c r="C94" s="53"/>
      <c r="D94" s="53"/>
      <c r="E94" s="53"/>
      <c r="F94" s="54"/>
      <c r="G94" s="55"/>
      <c r="H94" s="53"/>
      <c r="I94" s="53"/>
    </row>
    <row r="95" customFormat="false" ht="16.5" hidden="false" customHeight="true" outlineLevel="0" collapsed="false">
      <c r="A95" s="52" t="n">
        <v>5</v>
      </c>
      <c r="B95" s="53"/>
      <c r="C95" s="53"/>
      <c r="D95" s="53"/>
      <c r="E95" s="53"/>
      <c r="F95" s="54"/>
      <c r="G95" s="55"/>
      <c r="H95" s="53"/>
      <c r="I95" s="53"/>
    </row>
    <row r="96" customFormat="false" ht="16.5" hidden="false" customHeight="true" outlineLevel="0" collapsed="false">
      <c r="A96" s="52" t="n">
        <v>6</v>
      </c>
      <c r="B96" s="53"/>
      <c r="C96" s="53"/>
      <c r="D96" s="53"/>
      <c r="E96" s="53"/>
      <c r="F96" s="54"/>
      <c r="G96" s="55"/>
      <c r="H96" s="53"/>
      <c r="I96" s="53"/>
    </row>
    <row r="97" customFormat="false" ht="16.5" hidden="false" customHeight="true" outlineLevel="0" collapsed="false">
      <c r="A97" s="52" t="n">
        <v>7</v>
      </c>
      <c r="B97" s="53"/>
      <c r="C97" s="53"/>
      <c r="D97" s="53"/>
      <c r="E97" s="53"/>
      <c r="F97" s="54"/>
      <c r="G97" s="55"/>
      <c r="H97" s="53"/>
      <c r="I97" s="53"/>
    </row>
    <row r="98" customFormat="false" ht="16.5" hidden="false" customHeight="true" outlineLevel="0" collapsed="false">
      <c r="A98" s="52" t="n">
        <v>8</v>
      </c>
      <c r="B98" s="53"/>
      <c r="C98" s="53"/>
      <c r="D98" s="53"/>
      <c r="E98" s="53"/>
      <c r="F98" s="54"/>
      <c r="G98" s="55"/>
      <c r="H98" s="53"/>
      <c r="I98" s="53"/>
    </row>
    <row r="99" customFormat="false" ht="16.5" hidden="false" customHeight="true" outlineLevel="0" collapsed="false">
      <c r="A99" s="52" t="n">
        <v>9</v>
      </c>
      <c r="B99" s="53"/>
      <c r="C99" s="53"/>
      <c r="D99" s="53"/>
      <c r="E99" s="53"/>
      <c r="F99" s="54"/>
      <c r="G99" s="55"/>
      <c r="H99" s="53"/>
      <c r="I99" s="53"/>
    </row>
    <row r="100" customFormat="false" ht="16.5" hidden="false" customHeight="true" outlineLevel="0" collapsed="false">
      <c r="A100" s="52" t="n">
        <v>10</v>
      </c>
      <c r="B100" s="53"/>
      <c r="C100" s="53"/>
      <c r="D100" s="53"/>
      <c r="E100" s="53"/>
      <c r="F100" s="54"/>
      <c r="G100" s="55"/>
      <c r="H100" s="53"/>
      <c r="I100" s="53"/>
    </row>
    <row r="101" customFormat="false" ht="16.5" hidden="false" customHeight="true" outlineLevel="0" collapsed="false">
      <c r="A101" s="52" t="n">
        <v>11</v>
      </c>
      <c r="B101" s="53"/>
      <c r="C101" s="53"/>
      <c r="D101" s="53"/>
      <c r="E101" s="53"/>
      <c r="F101" s="54"/>
      <c r="G101" s="55"/>
      <c r="H101" s="53"/>
      <c r="I101" s="53"/>
    </row>
    <row r="102" customFormat="false" ht="16.5" hidden="false" customHeight="true" outlineLevel="0" collapsed="false">
      <c r="A102" s="52" t="n">
        <v>12</v>
      </c>
      <c r="B102" s="53"/>
      <c r="C102" s="53"/>
      <c r="D102" s="53"/>
      <c r="E102" s="53"/>
      <c r="F102" s="54"/>
      <c r="G102" s="55"/>
      <c r="H102" s="53"/>
      <c r="I102" s="53"/>
    </row>
    <row r="103" customFormat="false" ht="16.5" hidden="false" customHeight="true" outlineLevel="0" collapsed="false">
      <c r="A103" s="52" t="n">
        <v>13</v>
      </c>
      <c r="B103" s="53"/>
      <c r="C103" s="53"/>
      <c r="D103" s="53"/>
      <c r="E103" s="53"/>
      <c r="F103" s="54"/>
      <c r="G103" s="55"/>
      <c r="H103" s="53"/>
      <c r="I103" s="53"/>
    </row>
    <row r="104" customFormat="false" ht="16.5" hidden="false" customHeight="true" outlineLevel="0" collapsed="false">
      <c r="A104" s="52" t="n">
        <v>14</v>
      </c>
      <c r="B104" s="53"/>
      <c r="C104" s="53"/>
      <c r="D104" s="53"/>
      <c r="E104" s="53"/>
      <c r="F104" s="54"/>
      <c r="G104" s="55"/>
      <c r="H104" s="53"/>
      <c r="I104" s="53"/>
    </row>
    <row r="105" customFormat="false" ht="16.5" hidden="false" customHeight="true" outlineLevel="0" collapsed="false">
      <c r="A105" s="52" t="n">
        <v>15</v>
      </c>
      <c r="B105" s="53"/>
      <c r="C105" s="53"/>
      <c r="D105" s="53"/>
      <c r="E105" s="53"/>
      <c r="F105" s="54"/>
      <c r="G105" s="55"/>
      <c r="H105" s="53"/>
      <c r="I105" s="53"/>
    </row>
    <row r="106" customFormat="false" ht="16.5" hidden="false" customHeight="true" outlineLevel="0" collapsed="false">
      <c r="A106" s="52" t="n">
        <v>16</v>
      </c>
      <c r="B106" s="53"/>
      <c r="C106" s="53"/>
      <c r="D106" s="53"/>
      <c r="E106" s="53"/>
      <c r="F106" s="54"/>
      <c r="G106" s="55"/>
      <c r="H106" s="53"/>
      <c r="I106" s="53"/>
    </row>
    <row r="107" customFormat="false" ht="16.5" hidden="false" customHeight="true" outlineLevel="0" collapsed="false">
      <c r="A107" s="52" t="n">
        <v>17</v>
      </c>
      <c r="B107" s="53"/>
      <c r="C107" s="53"/>
      <c r="D107" s="53"/>
      <c r="E107" s="53"/>
      <c r="F107" s="54"/>
      <c r="G107" s="55"/>
      <c r="H107" s="53"/>
      <c r="I107" s="53"/>
    </row>
    <row r="108" customFormat="false" ht="16.5" hidden="false" customHeight="true" outlineLevel="0" collapsed="false">
      <c r="A108" s="52" t="n">
        <v>18</v>
      </c>
      <c r="B108" s="53"/>
      <c r="C108" s="53"/>
      <c r="D108" s="53"/>
      <c r="E108" s="53"/>
      <c r="F108" s="54"/>
      <c r="G108" s="55"/>
      <c r="H108" s="53"/>
      <c r="I108" s="53"/>
    </row>
    <row r="109" customFormat="false" ht="16.5" hidden="false" customHeight="true" outlineLevel="0" collapsed="false">
      <c r="A109" s="52" t="n">
        <v>19</v>
      </c>
      <c r="B109" s="53"/>
      <c r="C109" s="53"/>
      <c r="D109" s="53"/>
      <c r="E109" s="53"/>
      <c r="F109" s="54"/>
      <c r="G109" s="55"/>
      <c r="H109" s="53"/>
      <c r="I109" s="53"/>
    </row>
    <row r="110" customFormat="false" ht="16.5" hidden="false" customHeight="true" outlineLevel="0" collapsed="false">
      <c r="A110" s="52" t="n">
        <v>20</v>
      </c>
      <c r="B110" s="53"/>
      <c r="C110" s="53"/>
      <c r="D110" s="53"/>
      <c r="E110" s="53"/>
      <c r="F110" s="54"/>
      <c r="G110" s="55"/>
      <c r="H110" s="53"/>
      <c r="I110" s="53"/>
    </row>
    <row r="111" customFormat="false" ht="16.5" hidden="false" customHeight="true" outlineLevel="0" collapsed="false">
      <c r="A111" s="52" t="n">
        <v>21</v>
      </c>
      <c r="B111" s="53"/>
      <c r="C111" s="53"/>
      <c r="D111" s="53"/>
      <c r="E111" s="53"/>
      <c r="F111" s="54"/>
      <c r="G111" s="55"/>
      <c r="H111" s="53"/>
      <c r="I111" s="53"/>
    </row>
    <row r="112" customFormat="false" ht="16.5" hidden="false" customHeight="true" outlineLevel="0" collapsed="false">
      <c r="A112" s="52" t="n">
        <v>22</v>
      </c>
      <c r="B112" s="53"/>
      <c r="C112" s="53"/>
      <c r="D112" s="53"/>
      <c r="E112" s="53"/>
      <c r="F112" s="54"/>
      <c r="G112" s="55"/>
      <c r="H112" s="53"/>
      <c r="I112" s="53"/>
    </row>
    <row r="113" customFormat="false" ht="16.5" hidden="false" customHeight="true" outlineLevel="0" collapsed="false">
      <c r="A113" s="52" t="n">
        <v>23</v>
      </c>
      <c r="B113" s="53"/>
      <c r="C113" s="53"/>
      <c r="D113" s="53"/>
      <c r="E113" s="53"/>
      <c r="F113" s="54"/>
      <c r="G113" s="55"/>
      <c r="H113" s="53"/>
      <c r="I113" s="53"/>
    </row>
    <row r="114" customFormat="false" ht="16.5" hidden="false" customHeight="true" outlineLevel="0" collapsed="false">
      <c r="A114" s="52" t="n">
        <v>24</v>
      </c>
      <c r="B114" s="53"/>
      <c r="C114" s="53"/>
      <c r="D114" s="53"/>
      <c r="E114" s="53"/>
      <c r="F114" s="54"/>
      <c r="G114" s="55"/>
      <c r="H114" s="53"/>
      <c r="I114" s="53"/>
    </row>
    <row r="115" customFormat="false" ht="16.5" hidden="false" customHeight="true" outlineLevel="0" collapsed="false">
      <c r="A115" s="52" t="n">
        <v>25</v>
      </c>
      <c r="B115" s="53"/>
      <c r="C115" s="53"/>
      <c r="D115" s="53"/>
      <c r="E115" s="53"/>
      <c r="F115" s="54"/>
      <c r="G115" s="55"/>
      <c r="H115" s="53"/>
      <c r="I115" s="53"/>
    </row>
    <row r="116" customFormat="false" ht="16.5" hidden="false" customHeight="true" outlineLevel="0" collapsed="false">
      <c r="A116" s="52" t="n">
        <v>26</v>
      </c>
      <c r="B116" s="53"/>
      <c r="C116" s="53"/>
      <c r="D116" s="53"/>
      <c r="E116" s="53"/>
      <c r="F116" s="54"/>
      <c r="G116" s="55"/>
      <c r="H116" s="53"/>
      <c r="I116" s="53"/>
    </row>
    <row r="117" customFormat="false" ht="16.5" hidden="false" customHeight="true" outlineLevel="0" collapsed="false">
      <c r="A117" s="52" t="n">
        <v>27</v>
      </c>
      <c r="B117" s="53"/>
      <c r="C117" s="53"/>
      <c r="D117" s="53"/>
      <c r="E117" s="53"/>
      <c r="F117" s="54"/>
      <c r="G117" s="55"/>
      <c r="H117" s="53"/>
      <c r="I117" s="53"/>
    </row>
    <row r="118" customFormat="false" ht="16.5" hidden="false" customHeight="true" outlineLevel="0" collapsed="false">
      <c r="A118" s="52" t="n">
        <v>28</v>
      </c>
      <c r="B118" s="53"/>
      <c r="C118" s="53"/>
      <c r="D118" s="53"/>
      <c r="E118" s="53"/>
      <c r="F118" s="54"/>
      <c r="G118" s="55"/>
      <c r="H118" s="53"/>
      <c r="I118" s="53"/>
    </row>
    <row r="119" customFormat="false" ht="16.5" hidden="false" customHeight="true" outlineLevel="0" collapsed="false">
      <c r="A119" s="52" t="n">
        <v>29</v>
      </c>
      <c r="B119" s="53"/>
      <c r="C119" s="53"/>
      <c r="D119" s="53"/>
      <c r="E119" s="53"/>
      <c r="F119" s="54"/>
      <c r="G119" s="55"/>
      <c r="H119" s="53"/>
      <c r="I119" s="53"/>
    </row>
    <row r="120" customFormat="false" ht="16.5" hidden="false" customHeight="true" outlineLevel="0" collapsed="false">
      <c r="A120" s="52" t="n">
        <v>30</v>
      </c>
      <c r="B120" s="53"/>
      <c r="C120" s="53"/>
      <c r="D120" s="53"/>
      <c r="E120" s="53"/>
      <c r="F120" s="54"/>
      <c r="G120" s="55"/>
      <c r="H120" s="53"/>
      <c r="I120" s="53"/>
    </row>
    <row r="121" customFormat="false" ht="16.5" hidden="false" customHeight="true" outlineLevel="0" collapsed="false">
      <c r="A121" s="52" t="n">
        <v>31</v>
      </c>
      <c r="B121" s="53"/>
      <c r="C121" s="53"/>
      <c r="D121" s="53"/>
      <c r="E121" s="53"/>
      <c r="F121" s="54"/>
      <c r="G121" s="55"/>
      <c r="H121" s="53"/>
      <c r="I121" s="53"/>
    </row>
    <row r="122" customFormat="false" ht="16.5" hidden="false" customHeight="true" outlineLevel="0" collapsed="false">
      <c r="A122" s="52" t="n">
        <v>32</v>
      </c>
      <c r="B122" s="53"/>
      <c r="C122" s="53"/>
      <c r="D122" s="53"/>
      <c r="E122" s="53"/>
      <c r="F122" s="54"/>
      <c r="G122" s="55"/>
      <c r="H122" s="53"/>
      <c r="I122" s="53"/>
    </row>
    <row r="123" customFormat="false" ht="16.5" hidden="false" customHeight="true" outlineLevel="0" collapsed="false">
      <c r="A123" s="52" t="n">
        <v>33</v>
      </c>
      <c r="B123" s="53"/>
      <c r="C123" s="53"/>
      <c r="D123" s="53"/>
      <c r="E123" s="53"/>
      <c r="F123" s="54"/>
      <c r="G123" s="55"/>
      <c r="H123" s="53"/>
      <c r="I123" s="53"/>
    </row>
    <row r="124" customFormat="false" ht="16.5" hidden="false" customHeight="true" outlineLevel="0" collapsed="false">
      <c r="A124" s="52" t="n">
        <v>34</v>
      </c>
      <c r="B124" s="53"/>
      <c r="C124" s="53"/>
      <c r="D124" s="53"/>
      <c r="E124" s="53"/>
      <c r="F124" s="54"/>
      <c r="G124" s="55"/>
      <c r="H124" s="53"/>
      <c r="I124" s="53"/>
    </row>
    <row r="125" customFormat="false" ht="16.5" hidden="false" customHeight="true" outlineLevel="0" collapsed="false">
      <c r="A125" s="52" t="n">
        <v>35</v>
      </c>
      <c r="B125" s="53"/>
      <c r="C125" s="53"/>
      <c r="D125" s="53"/>
      <c r="E125" s="53"/>
      <c r="F125" s="54"/>
      <c r="G125" s="55"/>
      <c r="H125" s="53"/>
      <c r="I125" s="53"/>
    </row>
    <row r="126" customFormat="false" ht="15" hidden="false" customHeight="true" outlineLevel="0" collapsed="false">
      <c r="A126" s="56" t="s">
        <v>260</v>
      </c>
      <c r="B126" s="56"/>
      <c r="C126" s="56"/>
      <c r="D126" s="56"/>
      <c r="E126" s="56"/>
      <c r="F126" s="57" t="n">
        <f aca="false">IFERROR(SUM(F91:F125),0)</f>
        <v>0</v>
      </c>
    </row>
    <row r="127" customFormat="false" ht="19.5" hidden="false" customHeight="true" outlineLevel="0" collapsed="false">
      <c r="A127" s="32" t="s">
        <v>261</v>
      </c>
      <c r="B127" s="32"/>
      <c r="C127" s="32"/>
      <c r="D127" s="32"/>
      <c r="E127" s="32"/>
      <c r="F127" s="58"/>
      <c r="G127" s="58"/>
      <c r="H127" s="58"/>
      <c r="I127" s="58"/>
      <c r="J127" s="58"/>
      <c r="K127" s="58"/>
      <c r="L127" s="58"/>
      <c r="M127" s="58"/>
      <c r="N127" s="58"/>
    </row>
    <row r="128" customFormat="false" ht="31.5" hidden="false" customHeight="true" outlineLevel="0" collapsed="false">
      <c r="A128" s="51" t="s">
        <v>106</v>
      </c>
      <c r="B128" s="51" t="s">
        <v>262</v>
      </c>
      <c r="C128" s="51" t="s">
        <v>263</v>
      </c>
      <c r="D128" s="51" t="s">
        <v>264</v>
      </c>
      <c r="E128" s="51" t="s">
        <v>265</v>
      </c>
      <c r="F128" s="51" t="s">
        <v>266</v>
      </c>
      <c r="G128" s="51" t="s">
        <v>267</v>
      </c>
      <c r="H128" s="51" t="s">
        <v>268</v>
      </c>
      <c r="I128" s="51" t="s">
        <v>269</v>
      </c>
      <c r="J128" s="51" t="s">
        <v>270</v>
      </c>
      <c r="K128" s="51" t="s">
        <v>271</v>
      </c>
      <c r="L128" s="51" t="s">
        <v>272</v>
      </c>
      <c r="M128" s="51" t="s">
        <v>61</v>
      </c>
      <c r="N128" s="51" t="s">
        <v>273</v>
      </c>
    </row>
    <row r="129" customFormat="false" ht="16.5" hidden="false" customHeight="true" outlineLevel="0" collapsed="false">
      <c r="A129" s="52" t="n">
        <v>1</v>
      </c>
      <c r="B129" s="53"/>
      <c r="C129" s="53"/>
      <c r="D129" s="53"/>
      <c r="E129" s="59"/>
      <c r="F129" s="59"/>
      <c r="G129" s="60"/>
      <c r="H129" s="57" t="n">
        <f aca="false">IFERROR(E129*G129,"")</f>
        <v>0</v>
      </c>
      <c r="I129" s="53"/>
      <c r="J129" s="55"/>
      <c r="K129" s="55"/>
      <c r="L129" s="55"/>
      <c r="M129" s="53"/>
      <c r="N129" s="53"/>
    </row>
    <row r="130" customFormat="false" ht="16.5" hidden="false" customHeight="true" outlineLevel="0" collapsed="false">
      <c r="A130" s="52" t="n">
        <v>2</v>
      </c>
      <c r="B130" s="53"/>
      <c r="C130" s="53"/>
      <c r="D130" s="53"/>
      <c r="E130" s="59"/>
      <c r="F130" s="59"/>
      <c r="G130" s="60"/>
      <c r="H130" s="57" t="n">
        <f aca="false">IFERROR(E130*G130,"")</f>
        <v>0</v>
      </c>
      <c r="I130" s="53"/>
      <c r="J130" s="55"/>
      <c r="K130" s="55"/>
      <c r="L130" s="55"/>
      <c r="M130" s="53"/>
      <c r="N130" s="53"/>
    </row>
    <row r="131" customFormat="false" ht="16.5" hidden="false" customHeight="true" outlineLevel="0" collapsed="false">
      <c r="A131" s="52" t="n">
        <v>3</v>
      </c>
      <c r="B131" s="53"/>
      <c r="C131" s="53"/>
      <c r="D131" s="53"/>
      <c r="E131" s="59"/>
      <c r="F131" s="59"/>
      <c r="G131" s="60"/>
      <c r="H131" s="57" t="n">
        <f aca="false">IFERROR(E131*G131,"")</f>
        <v>0</v>
      </c>
      <c r="I131" s="53"/>
      <c r="J131" s="55"/>
      <c r="K131" s="55"/>
      <c r="L131" s="55"/>
      <c r="M131" s="53"/>
      <c r="N131" s="53"/>
    </row>
    <row r="132" customFormat="false" ht="16.5" hidden="false" customHeight="true" outlineLevel="0" collapsed="false">
      <c r="A132" s="52" t="n">
        <v>4</v>
      </c>
      <c r="B132" s="53"/>
      <c r="C132" s="53"/>
      <c r="D132" s="53"/>
      <c r="E132" s="59"/>
      <c r="F132" s="59"/>
      <c r="G132" s="60"/>
      <c r="H132" s="57" t="n">
        <f aca="false">IFERROR(E132*G132,"")</f>
        <v>0</v>
      </c>
      <c r="I132" s="53"/>
      <c r="J132" s="55"/>
      <c r="K132" s="55"/>
      <c r="L132" s="55"/>
      <c r="M132" s="53"/>
      <c r="N132" s="53"/>
    </row>
    <row r="133" customFormat="false" ht="16.5" hidden="false" customHeight="true" outlineLevel="0" collapsed="false">
      <c r="A133" s="52" t="n">
        <v>5</v>
      </c>
      <c r="B133" s="53"/>
      <c r="C133" s="53"/>
      <c r="D133" s="53"/>
      <c r="E133" s="59"/>
      <c r="F133" s="59"/>
      <c r="G133" s="60"/>
      <c r="H133" s="57" t="n">
        <f aca="false">IFERROR(E133*G133,"")</f>
        <v>0</v>
      </c>
      <c r="I133" s="53"/>
      <c r="J133" s="55"/>
      <c r="K133" s="55"/>
      <c r="L133" s="55"/>
      <c r="M133" s="53"/>
      <c r="N133" s="53"/>
    </row>
    <row r="134" customFormat="false" ht="16.5" hidden="false" customHeight="true" outlineLevel="0" collapsed="false">
      <c r="A134" s="52" t="n">
        <v>6</v>
      </c>
      <c r="B134" s="53"/>
      <c r="C134" s="53"/>
      <c r="D134" s="53"/>
      <c r="E134" s="59"/>
      <c r="F134" s="59"/>
      <c r="G134" s="60"/>
      <c r="H134" s="57" t="n">
        <f aca="false">IFERROR(E134*G134,"")</f>
        <v>0</v>
      </c>
      <c r="I134" s="53"/>
      <c r="J134" s="55"/>
      <c r="K134" s="55"/>
      <c r="L134" s="55"/>
      <c r="M134" s="53"/>
      <c r="N134" s="53"/>
    </row>
    <row r="135" customFormat="false" ht="16.5" hidden="false" customHeight="true" outlineLevel="0" collapsed="false">
      <c r="A135" s="52" t="n">
        <v>7</v>
      </c>
      <c r="B135" s="53"/>
      <c r="C135" s="53"/>
      <c r="D135" s="53"/>
      <c r="E135" s="59"/>
      <c r="F135" s="59"/>
      <c r="G135" s="60"/>
      <c r="H135" s="57" t="n">
        <f aca="false">IFERROR(E135*G135,"")</f>
        <v>0</v>
      </c>
      <c r="I135" s="53"/>
      <c r="J135" s="55"/>
      <c r="K135" s="55"/>
      <c r="L135" s="55"/>
      <c r="M135" s="53"/>
      <c r="N135" s="53"/>
    </row>
    <row r="136" customFormat="false" ht="16.5" hidden="false" customHeight="true" outlineLevel="0" collapsed="false">
      <c r="A136" s="52" t="n">
        <v>8</v>
      </c>
      <c r="B136" s="53"/>
      <c r="C136" s="53"/>
      <c r="D136" s="53"/>
      <c r="E136" s="59"/>
      <c r="F136" s="59"/>
      <c r="G136" s="60"/>
      <c r="H136" s="57" t="n">
        <f aca="false">IFERROR(E136*G136,"")</f>
        <v>0</v>
      </c>
      <c r="I136" s="53"/>
      <c r="J136" s="55"/>
      <c r="K136" s="55"/>
      <c r="L136" s="55"/>
      <c r="M136" s="53"/>
      <c r="N136" s="53"/>
    </row>
    <row r="137" customFormat="false" ht="16.5" hidden="false" customHeight="true" outlineLevel="0" collapsed="false">
      <c r="A137" s="52" t="n">
        <v>9</v>
      </c>
      <c r="B137" s="53"/>
      <c r="C137" s="53"/>
      <c r="D137" s="53"/>
      <c r="E137" s="59"/>
      <c r="F137" s="59"/>
      <c r="G137" s="60"/>
      <c r="H137" s="57" t="n">
        <f aca="false">IFERROR(E137*G137,"")</f>
        <v>0</v>
      </c>
      <c r="I137" s="53"/>
      <c r="J137" s="55"/>
      <c r="K137" s="55"/>
      <c r="L137" s="55"/>
      <c r="M137" s="53"/>
      <c r="N137" s="53"/>
    </row>
    <row r="138" customFormat="false" ht="16.5" hidden="false" customHeight="true" outlineLevel="0" collapsed="false">
      <c r="A138" s="52" t="n">
        <v>10</v>
      </c>
      <c r="B138" s="53"/>
      <c r="C138" s="53"/>
      <c r="D138" s="53"/>
      <c r="E138" s="59"/>
      <c r="F138" s="59"/>
      <c r="G138" s="60"/>
      <c r="H138" s="57" t="n">
        <f aca="false">IFERROR(E138*G138,"")</f>
        <v>0</v>
      </c>
      <c r="I138" s="53"/>
      <c r="J138" s="55"/>
      <c r="K138" s="55"/>
      <c r="L138" s="55"/>
      <c r="M138" s="53"/>
      <c r="N138" s="53"/>
    </row>
    <row r="139" customFormat="false" ht="16.5" hidden="false" customHeight="true" outlineLevel="0" collapsed="false">
      <c r="A139" s="52" t="n">
        <v>11</v>
      </c>
      <c r="B139" s="53"/>
      <c r="C139" s="53"/>
      <c r="D139" s="53"/>
      <c r="E139" s="59"/>
      <c r="F139" s="59"/>
      <c r="G139" s="60"/>
      <c r="H139" s="57" t="n">
        <f aca="false">IFERROR(E139*G139,"")</f>
        <v>0</v>
      </c>
      <c r="I139" s="53"/>
      <c r="J139" s="55"/>
      <c r="K139" s="55"/>
      <c r="L139" s="55"/>
      <c r="M139" s="53"/>
      <c r="N139" s="53"/>
    </row>
    <row r="140" customFormat="false" ht="16.5" hidden="false" customHeight="true" outlineLevel="0" collapsed="false">
      <c r="A140" s="52" t="n">
        <v>12</v>
      </c>
      <c r="B140" s="53"/>
      <c r="C140" s="53"/>
      <c r="D140" s="53"/>
      <c r="E140" s="59"/>
      <c r="F140" s="59"/>
      <c r="G140" s="60"/>
      <c r="H140" s="57" t="n">
        <f aca="false">IFERROR(E140*G140,"")</f>
        <v>0</v>
      </c>
      <c r="I140" s="53"/>
      <c r="J140" s="55"/>
      <c r="K140" s="55"/>
      <c r="L140" s="55"/>
      <c r="M140" s="53"/>
      <c r="N140" s="53"/>
    </row>
    <row r="141" customFormat="false" ht="16.5" hidden="false" customHeight="true" outlineLevel="0" collapsed="false">
      <c r="A141" s="52" t="n">
        <v>13</v>
      </c>
      <c r="B141" s="53"/>
      <c r="C141" s="53"/>
      <c r="D141" s="53"/>
      <c r="E141" s="59"/>
      <c r="F141" s="59"/>
      <c r="G141" s="60"/>
      <c r="H141" s="57" t="n">
        <f aca="false">IFERROR(E141*G141,"")</f>
        <v>0</v>
      </c>
      <c r="I141" s="53"/>
      <c r="J141" s="55"/>
      <c r="K141" s="55"/>
      <c r="L141" s="55"/>
      <c r="M141" s="53"/>
      <c r="N141" s="53"/>
    </row>
    <row r="142" customFormat="false" ht="16.5" hidden="false" customHeight="true" outlineLevel="0" collapsed="false">
      <c r="A142" s="52" t="n">
        <v>14</v>
      </c>
      <c r="B142" s="53"/>
      <c r="C142" s="53"/>
      <c r="D142" s="53"/>
      <c r="E142" s="59"/>
      <c r="F142" s="59"/>
      <c r="G142" s="60"/>
      <c r="H142" s="57" t="n">
        <f aca="false">IFERROR(E142*G142,"")</f>
        <v>0</v>
      </c>
      <c r="I142" s="53"/>
      <c r="J142" s="55"/>
      <c r="K142" s="55"/>
      <c r="L142" s="55"/>
      <c r="M142" s="53"/>
      <c r="N142" s="53"/>
    </row>
    <row r="143" customFormat="false" ht="16.5" hidden="false" customHeight="true" outlineLevel="0" collapsed="false">
      <c r="A143" s="52" t="n">
        <v>15</v>
      </c>
      <c r="B143" s="53"/>
      <c r="C143" s="53"/>
      <c r="D143" s="53"/>
      <c r="E143" s="59"/>
      <c r="F143" s="59"/>
      <c r="G143" s="60"/>
      <c r="H143" s="57" t="n">
        <f aca="false">IFERROR(E143*G143,"")</f>
        <v>0</v>
      </c>
      <c r="I143" s="53"/>
      <c r="J143" s="55"/>
      <c r="K143" s="55"/>
      <c r="L143" s="55"/>
      <c r="M143" s="53"/>
      <c r="N143" s="53"/>
    </row>
    <row r="144" customFormat="false" ht="16.5" hidden="false" customHeight="true" outlineLevel="0" collapsed="false">
      <c r="A144" s="52" t="n">
        <v>16</v>
      </c>
      <c r="B144" s="53"/>
      <c r="C144" s="53"/>
      <c r="D144" s="53"/>
      <c r="E144" s="59"/>
      <c r="F144" s="59"/>
      <c r="G144" s="60"/>
      <c r="H144" s="57" t="n">
        <f aca="false">IFERROR(E144*G144,"")</f>
        <v>0</v>
      </c>
      <c r="I144" s="53"/>
      <c r="J144" s="55"/>
      <c r="K144" s="55"/>
      <c r="L144" s="55"/>
      <c r="M144" s="53"/>
      <c r="N144" s="53"/>
    </row>
    <row r="145" customFormat="false" ht="16.5" hidden="false" customHeight="true" outlineLevel="0" collapsed="false">
      <c r="A145" s="52" t="n">
        <v>17</v>
      </c>
      <c r="B145" s="53"/>
      <c r="C145" s="53"/>
      <c r="D145" s="53"/>
      <c r="E145" s="59"/>
      <c r="F145" s="59"/>
      <c r="G145" s="60"/>
      <c r="H145" s="57" t="n">
        <f aca="false">IFERROR(E145*G145,"")</f>
        <v>0</v>
      </c>
      <c r="I145" s="53"/>
      <c r="J145" s="55"/>
      <c r="K145" s="55"/>
      <c r="L145" s="55"/>
      <c r="M145" s="53"/>
      <c r="N145" s="53"/>
    </row>
    <row r="146" customFormat="false" ht="16.5" hidden="false" customHeight="true" outlineLevel="0" collapsed="false">
      <c r="A146" s="52" t="n">
        <v>18</v>
      </c>
      <c r="B146" s="53"/>
      <c r="C146" s="53"/>
      <c r="D146" s="53"/>
      <c r="E146" s="59"/>
      <c r="F146" s="59"/>
      <c r="G146" s="60"/>
      <c r="H146" s="57" t="n">
        <f aca="false">IFERROR(E146*G146,"")</f>
        <v>0</v>
      </c>
      <c r="I146" s="53"/>
      <c r="J146" s="55"/>
      <c r="K146" s="55"/>
      <c r="L146" s="55"/>
      <c r="M146" s="53"/>
      <c r="N146" s="53"/>
    </row>
    <row r="147" customFormat="false" ht="16.5" hidden="false" customHeight="true" outlineLevel="0" collapsed="false">
      <c r="A147" s="52" t="n">
        <v>19</v>
      </c>
      <c r="B147" s="53"/>
      <c r="C147" s="53"/>
      <c r="D147" s="53"/>
      <c r="E147" s="59"/>
      <c r="F147" s="59"/>
      <c r="G147" s="60"/>
      <c r="H147" s="57" t="n">
        <f aca="false">IFERROR(E147*G147,"")</f>
        <v>0</v>
      </c>
      <c r="I147" s="53"/>
      <c r="J147" s="55"/>
      <c r="K147" s="55"/>
      <c r="L147" s="55"/>
      <c r="M147" s="53"/>
      <c r="N147" s="53"/>
    </row>
    <row r="148" customFormat="false" ht="16.5" hidden="false" customHeight="true" outlineLevel="0" collapsed="false">
      <c r="A148" s="52" t="n">
        <v>20</v>
      </c>
      <c r="B148" s="53"/>
      <c r="C148" s="53"/>
      <c r="D148" s="53"/>
      <c r="E148" s="59"/>
      <c r="F148" s="59"/>
      <c r="G148" s="60"/>
      <c r="H148" s="57" t="n">
        <f aca="false">IFERROR(E148*G148,"")</f>
        <v>0</v>
      </c>
      <c r="I148" s="53"/>
      <c r="J148" s="55"/>
      <c r="K148" s="55"/>
      <c r="L148" s="55"/>
      <c r="M148" s="53"/>
      <c r="N148" s="53"/>
    </row>
    <row r="149" customFormat="false" ht="16.5" hidden="false" customHeight="true" outlineLevel="0" collapsed="false">
      <c r="A149" s="52" t="n">
        <v>21</v>
      </c>
      <c r="B149" s="53"/>
      <c r="C149" s="53"/>
      <c r="D149" s="53"/>
      <c r="E149" s="59"/>
      <c r="F149" s="59"/>
      <c r="G149" s="60"/>
      <c r="H149" s="57" t="n">
        <f aca="false">IFERROR(E149*G149,"")</f>
        <v>0</v>
      </c>
      <c r="I149" s="53"/>
      <c r="J149" s="55"/>
      <c r="K149" s="55"/>
      <c r="L149" s="55"/>
      <c r="M149" s="53"/>
      <c r="N149" s="53"/>
    </row>
    <row r="150" customFormat="false" ht="16.5" hidden="false" customHeight="true" outlineLevel="0" collapsed="false">
      <c r="A150" s="52" t="n">
        <v>22</v>
      </c>
      <c r="B150" s="53"/>
      <c r="C150" s="53"/>
      <c r="D150" s="53"/>
      <c r="E150" s="59"/>
      <c r="F150" s="59"/>
      <c r="G150" s="60"/>
      <c r="H150" s="57" t="n">
        <f aca="false">IFERROR(E150*G150,"")</f>
        <v>0</v>
      </c>
      <c r="I150" s="53"/>
      <c r="J150" s="55"/>
      <c r="K150" s="55"/>
      <c r="L150" s="55"/>
      <c r="M150" s="53"/>
      <c r="N150" s="53"/>
    </row>
    <row r="151" customFormat="false" ht="16.5" hidden="false" customHeight="true" outlineLevel="0" collapsed="false">
      <c r="A151" s="52" t="n">
        <v>23</v>
      </c>
      <c r="B151" s="53"/>
      <c r="C151" s="53"/>
      <c r="D151" s="53"/>
      <c r="E151" s="59"/>
      <c r="F151" s="59"/>
      <c r="G151" s="60"/>
      <c r="H151" s="57" t="n">
        <f aca="false">IFERROR(E151*G151,"")</f>
        <v>0</v>
      </c>
      <c r="I151" s="53"/>
      <c r="J151" s="55"/>
      <c r="K151" s="55"/>
      <c r="L151" s="55"/>
      <c r="M151" s="53"/>
      <c r="N151" s="53"/>
    </row>
    <row r="152" customFormat="false" ht="16.5" hidden="false" customHeight="true" outlineLevel="0" collapsed="false">
      <c r="A152" s="52" t="n">
        <v>24</v>
      </c>
      <c r="B152" s="53"/>
      <c r="C152" s="53"/>
      <c r="D152" s="53"/>
      <c r="E152" s="59"/>
      <c r="F152" s="59"/>
      <c r="G152" s="60"/>
      <c r="H152" s="57" t="n">
        <f aca="false">IFERROR(E152*G152,"")</f>
        <v>0</v>
      </c>
      <c r="I152" s="53"/>
      <c r="J152" s="55"/>
      <c r="K152" s="55"/>
      <c r="L152" s="55"/>
      <c r="M152" s="53"/>
      <c r="N152" s="53"/>
    </row>
    <row r="153" customFormat="false" ht="16.5" hidden="false" customHeight="true" outlineLevel="0" collapsed="false">
      <c r="A153" s="52" t="n">
        <v>25</v>
      </c>
      <c r="B153" s="53"/>
      <c r="C153" s="53"/>
      <c r="D153" s="53"/>
      <c r="E153" s="59"/>
      <c r="F153" s="59"/>
      <c r="G153" s="60"/>
      <c r="H153" s="57" t="n">
        <f aca="false">IFERROR(E153*G153,"")</f>
        <v>0</v>
      </c>
      <c r="I153" s="53"/>
      <c r="J153" s="55"/>
      <c r="K153" s="55"/>
      <c r="L153" s="55"/>
      <c r="M153" s="53"/>
      <c r="N153" s="53"/>
    </row>
    <row r="154" customFormat="false" ht="16.5" hidden="false" customHeight="true" outlineLevel="0" collapsed="false">
      <c r="A154" s="52" t="n">
        <v>26</v>
      </c>
      <c r="B154" s="53"/>
      <c r="C154" s="53"/>
      <c r="D154" s="53"/>
      <c r="E154" s="59"/>
      <c r="F154" s="59"/>
      <c r="G154" s="60"/>
      <c r="H154" s="57" t="n">
        <f aca="false">IFERROR(E154*G154,"")</f>
        <v>0</v>
      </c>
      <c r="I154" s="53"/>
      <c r="J154" s="55"/>
      <c r="K154" s="55"/>
      <c r="L154" s="55"/>
      <c r="M154" s="53"/>
      <c r="N154" s="53"/>
    </row>
    <row r="155" customFormat="false" ht="16.5" hidden="false" customHeight="true" outlineLevel="0" collapsed="false">
      <c r="A155" s="52" t="n">
        <v>27</v>
      </c>
      <c r="B155" s="53"/>
      <c r="C155" s="53"/>
      <c r="D155" s="53"/>
      <c r="E155" s="59"/>
      <c r="F155" s="59"/>
      <c r="G155" s="60"/>
      <c r="H155" s="57" t="n">
        <f aca="false">IFERROR(E155*G155,"")</f>
        <v>0</v>
      </c>
      <c r="I155" s="53"/>
      <c r="J155" s="55"/>
      <c r="K155" s="55"/>
      <c r="L155" s="55"/>
      <c r="M155" s="53"/>
      <c r="N155" s="53"/>
    </row>
    <row r="156" customFormat="false" ht="16.5" hidden="false" customHeight="true" outlineLevel="0" collapsed="false">
      <c r="A156" s="52" t="n">
        <v>28</v>
      </c>
      <c r="B156" s="53"/>
      <c r="C156" s="53"/>
      <c r="D156" s="53"/>
      <c r="E156" s="59"/>
      <c r="F156" s="59"/>
      <c r="G156" s="60"/>
      <c r="H156" s="57" t="n">
        <f aca="false">IFERROR(E156*G156,"")</f>
        <v>0</v>
      </c>
      <c r="I156" s="53"/>
      <c r="J156" s="55"/>
      <c r="K156" s="55"/>
      <c r="L156" s="55"/>
      <c r="M156" s="53"/>
      <c r="N156" s="53"/>
    </row>
    <row r="157" customFormat="false" ht="16.5" hidden="false" customHeight="true" outlineLevel="0" collapsed="false">
      <c r="A157" s="52" t="n">
        <v>29</v>
      </c>
      <c r="B157" s="53"/>
      <c r="C157" s="53"/>
      <c r="D157" s="53"/>
      <c r="E157" s="59"/>
      <c r="F157" s="59"/>
      <c r="G157" s="60"/>
      <c r="H157" s="57" t="n">
        <f aca="false">IFERROR(E157*G157,"")</f>
        <v>0</v>
      </c>
      <c r="I157" s="53"/>
      <c r="J157" s="55"/>
      <c r="K157" s="55"/>
      <c r="L157" s="55"/>
      <c r="M157" s="53"/>
      <c r="N157" s="53"/>
    </row>
    <row r="158" customFormat="false" ht="16.5" hidden="false" customHeight="true" outlineLevel="0" collapsed="false">
      <c r="A158" s="52" t="n">
        <v>30</v>
      </c>
      <c r="B158" s="53"/>
      <c r="C158" s="53"/>
      <c r="D158" s="53"/>
      <c r="E158" s="59"/>
      <c r="F158" s="59"/>
      <c r="G158" s="60"/>
      <c r="H158" s="57" t="n">
        <f aca="false">IFERROR(E158*G158,"")</f>
        <v>0</v>
      </c>
      <c r="I158" s="53"/>
      <c r="J158" s="55"/>
      <c r="K158" s="55"/>
      <c r="L158" s="55"/>
      <c r="M158" s="53"/>
      <c r="N158" s="53"/>
    </row>
    <row r="159" customFormat="false" ht="16.5" hidden="false" customHeight="true" outlineLevel="0" collapsed="false">
      <c r="A159" s="52" t="n">
        <v>31</v>
      </c>
      <c r="B159" s="53"/>
      <c r="C159" s="53"/>
      <c r="D159" s="53"/>
      <c r="E159" s="59"/>
      <c r="F159" s="59"/>
      <c r="G159" s="60"/>
      <c r="H159" s="57" t="n">
        <f aca="false">IFERROR(E159*G159,"")</f>
        <v>0</v>
      </c>
      <c r="I159" s="53"/>
      <c r="J159" s="55"/>
      <c r="K159" s="55"/>
      <c r="L159" s="55"/>
      <c r="M159" s="53"/>
      <c r="N159" s="53"/>
    </row>
    <row r="160" customFormat="false" ht="16.5" hidden="false" customHeight="true" outlineLevel="0" collapsed="false">
      <c r="A160" s="52" t="n">
        <v>32</v>
      </c>
      <c r="B160" s="53"/>
      <c r="C160" s="53"/>
      <c r="D160" s="53"/>
      <c r="E160" s="59"/>
      <c r="F160" s="59"/>
      <c r="G160" s="60"/>
      <c r="H160" s="57" t="n">
        <f aca="false">IFERROR(E160*G160,"")</f>
        <v>0</v>
      </c>
      <c r="I160" s="53"/>
      <c r="J160" s="55"/>
      <c r="K160" s="55"/>
      <c r="L160" s="55"/>
      <c r="M160" s="53"/>
      <c r="N160" s="53"/>
    </row>
    <row r="161" customFormat="false" ht="16.5" hidden="false" customHeight="true" outlineLevel="0" collapsed="false">
      <c r="A161" s="52" t="n">
        <v>33</v>
      </c>
      <c r="B161" s="53"/>
      <c r="C161" s="53"/>
      <c r="D161" s="53"/>
      <c r="E161" s="59"/>
      <c r="F161" s="59"/>
      <c r="G161" s="60"/>
      <c r="H161" s="57" t="n">
        <f aca="false">IFERROR(E161*G161,"")</f>
        <v>0</v>
      </c>
      <c r="I161" s="53"/>
      <c r="J161" s="55"/>
      <c r="K161" s="55"/>
      <c r="L161" s="55"/>
      <c r="M161" s="53"/>
      <c r="N161" s="53"/>
    </row>
    <row r="162" customFormat="false" ht="16.5" hidden="false" customHeight="true" outlineLevel="0" collapsed="false">
      <c r="A162" s="52" t="n">
        <v>34</v>
      </c>
      <c r="B162" s="53"/>
      <c r="C162" s="53"/>
      <c r="D162" s="53"/>
      <c r="E162" s="59"/>
      <c r="F162" s="59"/>
      <c r="G162" s="60"/>
      <c r="H162" s="57" t="n">
        <f aca="false">IFERROR(E162*G162,"")</f>
        <v>0</v>
      </c>
      <c r="I162" s="53"/>
      <c r="J162" s="55"/>
      <c r="K162" s="55"/>
      <c r="L162" s="55"/>
      <c r="M162" s="53"/>
      <c r="N162" s="53"/>
    </row>
    <row r="163" customFormat="false" ht="16.5" hidden="false" customHeight="true" outlineLevel="0" collapsed="false">
      <c r="A163" s="52" t="n">
        <v>35</v>
      </c>
      <c r="B163" s="53"/>
      <c r="C163" s="53"/>
      <c r="D163" s="53"/>
      <c r="E163" s="59"/>
      <c r="F163" s="59"/>
      <c r="G163" s="60"/>
      <c r="H163" s="57" t="n">
        <f aca="false">IFERROR(E163*G163,"")</f>
        <v>0</v>
      </c>
      <c r="I163" s="53"/>
      <c r="J163" s="55"/>
      <c r="K163" s="55"/>
      <c r="L163" s="55"/>
      <c r="M163" s="53"/>
      <c r="N163" s="53"/>
    </row>
    <row r="164" customFormat="false" ht="16.5" hidden="false" customHeight="true" outlineLevel="0" collapsed="false">
      <c r="A164" s="52" t="n">
        <v>36</v>
      </c>
      <c r="B164" s="53"/>
      <c r="C164" s="53"/>
      <c r="D164" s="53"/>
      <c r="E164" s="59"/>
      <c r="F164" s="59"/>
      <c r="G164" s="60"/>
      <c r="H164" s="57" t="n">
        <f aca="false">IFERROR(E164*G164,"")</f>
        <v>0</v>
      </c>
      <c r="I164" s="53"/>
      <c r="J164" s="55"/>
      <c r="K164" s="55"/>
      <c r="L164" s="55"/>
      <c r="M164" s="53"/>
      <c r="N164" s="53"/>
    </row>
    <row r="165" customFormat="false" ht="16.5" hidden="false" customHeight="true" outlineLevel="0" collapsed="false">
      <c r="A165" s="52" t="n">
        <v>37</v>
      </c>
      <c r="B165" s="53"/>
      <c r="C165" s="53"/>
      <c r="D165" s="53"/>
      <c r="E165" s="59"/>
      <c r="F165" s="59"/>
      <c r="G165" s="60"/>
      <c r="H165" s="57" t="n">
        <f aca="false">IFERROR(E165*G165,"")</f>
        <v>0</v>
      </c>
      <c r="I165" s="53"/>
      <c r="J165" s="55"/>
      <c r="K165" s="55"/>
      <c r="L165" s="55"/>
      <c r="M165" s="53"/>
      <c r="N165" s="53"/>
    </row>
    <row r="166" customFormat="false" ht="16.5" hidden="false" customHeight="true" outlineLevel="0" collapsed="false">
      <c r="A166" s="52" t="n">
        <v>38</v>
      </c>
      <c r="B166" s="53"/>
      <c r="C166" s="53"/>
      <c r="D166" s="53"/>
      <c r="E166" s="59"/>
      <c r="F166" s="59"/>
      <c r="G166" s="60"/>
      <c r="H166" s="57" t="n">
        <f aca="false">IFERROR(E166*G166,"")</f>
        <v>0</v>
      </c>
      <c r="I166" s="53"/>
      <c r="J166" s="55"/>
      <c r="K166" s="55"/>
      <c r="L166" s="55"/>
      <c r="M166" s="53"/>
      <c r="N166" s="53"/>
    </row>
    <row r="167" customFormat="false" ht="16.5" hidden="false" customHeight="true" outlineLevel="0" collapsed="false">
      <c r="A167" s="52" t="n">
        <v>39</v>
      </c>
      <c r="B167" s="53"/>
      <c r="C167" s="53"/>
      <c r="D167" s="53"/>
      <c r="E167" s="59"/>
      <c r="F167" s="59"/>
      <c r="G167" s="60"/>
      <c r="H167" s="57" t="n">
        <f aca="false">IFERROR(E167*G167,"")</f>
        <v>0</v>
      </c>
      <c r="I167" s="53"/>
      <c r="J167" s="55"/>
      <c r="K167" s="55"/>
      <c r="L167" s="55"/>
      <c r="M167" s="53"/>
      <c r="N167" s="53"/>
    </row>
    <row r="168" customFormat="false" ht="16.5" hidden="false" customHeight="true" outlineLevel="0" collapsed="false">
      <c r="A168" s="52" t="n">
        <v>40</v>
      </c>
      <c r="B168" s="53"/>
      <c r="C168" s="53"/>
      <c r="D168" s="53"/>
      <c r="E168" s="59"/>
      <c r="F168" s="59"/>
      <c r="G168" s="60"/>
      <c r="H168" s="57" t="n">
        <f aca="false">IFERROR(E168*G168,"")</f>
        <v>0</v>
      </c>
      <c r="I168" s="53"/>
      <c r="J168" s="55"/>
      <c r="K168" s="55"/>
      <c r="L168" s="55"/>
      <c r="M168" s="53"/>
      <c r="N168" s="53"/>
    </row>
    <row r="169" customFormat="false" ht="16.5" hidden="false" customHeight="true" outlineLevel="0" collapsed="false">
      <c r="A169" s="52" t="n">
        <v>41</v>
      </c>
      <c r="B169" s="53"/>
      <c r="C169" s="53"/>
      <c r="D169" s="53"/>
      <c r="E169" s="59"/>
      <c r="F169" s="59"/>
      <c r="G169" s="60"/>
      <c r="H169" s="57" t="n">
        <f aca="false">IFERROR(E169*G169,"")</f>
        <v>0</v>
      </c>
      <c r="I169" s="53"/>
      <c r="J169" s="55"/>
      <c r="K169" s="55"/>
      <c r="L169" s="55"/>
      <c r="M169" s="53"/>
      <c r="N169" s="53"/>
    </row>
    <row r="170" customFormat="false" ht="16.5" hidden="false" customHeight="true" outlineLevel="0" collapsed="false">
      <c r="A170" s="52" t="n">
        <v>42</v>
      </c>
      <c r="B170" s="53"/>
      <c r="C170" s="53"/>
      <c r="D170" s="53"/>
      <c r="E170" s="59"/>
      <c r="F170" s="59"/>
      <c r="G170" s="60"/>
      <c r="H170" s="57" t="n">
        <f aca="false">IFERROR(E170*G170,"")</f>
        <v>0</v>
      </c>
      <c r="I170" s="53"/>
      <c r="J170" s="55"/>
      <c r="K170" s="55"/>
      <c r="L170" s="55"/>
      <c r="M170" s="53"/>
      <c r="N170" s="53"/>
    </row>
    <row r="171" customFormat="false" ht="16.5" hidden="false" customHeight="true" outlineLevel="0" collapsed="false">
      <c r="A171" s="52" t="n">
        <v>43</v>
      </c>
      <c r="B171" s="53"/>
      <c r="C171" s="53"/>
      <c r="D171" s="53"/>
      <c r="E171" s="59"/>
      <c r="F171" s="59"/>
      <c r="G171" s="60"/>
      <c r="H171" s="57" t="n">
        <f aca="false">IFERROR(E171*G171,"")</f>
        <v>0</v>
      </c>
      <c r="I171" s="53"/>
      <c r="J171" s="55"/>
      <c r="K171" s="55"/>
      <c r="L171" s="55"/>
      <c r="M171" s="53"/>
      <c r="N171" s="53"/>
    </row>
    <row r="172" customFormat="false" ht="16.5" hidden="false" customHeight="true" outlineLevel="0" collapsed="false">
      <c r="A172" s="52" t="n">
        <v>44</v>
      </c>
      <c r="B172" s="53"/>
      <c r="C172" s="53"/>
      <c r="D172" s="53"/>
      <c r="E172" s="59"/>
      <c r="F172" s="59"/>
      <c r="G172" s="60"/>
      <c r="H172" s="57" t="n">
        <f aca="false">IFERROR(E172*G172,"")</f>
        <v>0</v>
      </c>
      <c r="I172" s="53"/>
      <c r="J172" s="55"/>
      <c r="K172" s="55"/>
      <c r="L172" s="55"/>
      <c r="M172" s="53"/>
      <c r="N172" s="53"/>
    </row>
    <row r="173" customFormat="false" ht="16.5" hidden="false" customHeight="true" outlineLevel="0" collapsed="false">
      <c r="A173" s="52" t="n">
        <v>45</v>
      </c>
      <c r="B173" s="53"/>
      <c r="C173" s="53"/>
      <c r="D173" s="53"/>
      <c r="E173" s="59"/>
      <c r="F173" s="59"/>
      <c r="G173" s="60"/>
      <c r="H173" s="57" t="n">
        <f aca="false">IFERROR(E173*G173,"")</f>
        <v>0</v>
      </c>
      <c r="I173" s="53"/>
      <c r="J173" s="55"/>
      <c r="K173" s="55"/>
      <c r="L173" s="55"/>
      <c r="M173" s="53"/>
      <c r="N173" s="53"/>
    </row>
    <row r="174" customFormat="false" ht="16.5" hidden="false" customHeight="true" outlineLevel="0" collapsed="false">
      <c r="A174" s="52" t="n">
        <v>46</v>
      </c>
      <c r="B174" s="53"/>
      <c r="C174" s="53"/>
      <c r="D174" s="53"/>
      <c r="E174" s="59"/>
      <c r="F174" s="59"/>
      <c r="G174" s="60"/>
      <c r="H174" s="57" t="n">
        <f aca="false">IFERROR(E174*G174,"")</f>
        <v>0</v>
      </c>
      <c r="I174" s="53"/>
      <c r="J174" s="55"/>
      <c r="K174" s="55"/>
      <c r="L174" s="55"/>
      <c r="M174" s="53"/>
      <c r="N174" s="53"/>
    </row>
    <row r="175" customFormat="false" ht="16.5" hidden="false" customHeight="true" outlineLevel="0" collapsed="false">
      <c r="A175" s="52" t="n">
        <v>47</v>
      </c>
      <c r="B175" s="53"/>
      <c r="C175" s="53"/>
      <c r="D175" s="53"/>
      <c r="E175" s="59"/>
      <c r="F175" s="59"/>
      <c r="G175" s="60"/>
      <c r="H175" s="57" t="n">
        <f aca="false">IFERROR(E175*G175,"")</f>
        <v>0</v>
      </c>
      <c r="I175" s="53"/>
      <c r="J175" s="55"/>
      <c r="K175" s="55"/>
      <c r="L175" s="55"/>
      <c r="M175" s="53"/>
      <c r="N175" s="53"/>
    </row>
    <row r="176" customFormat="false" ht="16.5" hidden="false" customHeight="true" outlineLevel="0" collapsed="false">
      <c r="A176" s="52" t="n">
        <v>48</v>
      </c>
      <c r="B176" s="53"/>
      <c r="C176" s="53"/>
      <c r="D176" s="53"/>
      <c r="E176" s="59"/>
      <c r="F176" s="59"/>
      <c r="G176" s="60"/>
      <c r="H176" s="57" t="n">
        <f aca="false">IFERROR(E176*G176,"")</f>
        <v>0</v>
      </c>
      <c r="I176" s="53"/>
      <c r="J176" s="55"/>
      <c r="K176" s="55"/>
      <c r="L176" s="55"/>
      <c r="M176" s="53"/>
      <c r="N176" s="53"/>
    </row>
    <row r="177" customFormat="false" ht="16.5" hidden="false" customHeight="true" outlineLevel="0" collapsed="false">
      <c r="A177" s="52" t="n">
        <v>49</v>
      </c>
      <c r="B177" s="53"/>
      <c r="C177" s="53"/>
      <c r="D177" s="53"/>
      <c r="E177" s="59"/>
      <c r="F177" s="59"/>
      <c r="G177" s="60"/>
      <c r="H177" s="57" t="n">
        <f aca="false">IFERROR(E177*G177,"")</f>
        <v>0</v>
      </c>
      <c r="I177" s="53"/>
      <c r="J177" s="55"/>
      <c r="K177" s="55"/>
      <c r="L177" s="55"/>
      <c r="M177" s="53"/>
      <c r="N177" s="53"/>
    </row>
    <row r="178" customFormat="false" ht="16.5" hidden="false" customHeight="true" outlineLevel="0" collapsed="false">
      <c r="A178" s="52" t="n">
        <v>50</v>
      </c>
      <c r="B178" s="53"/>
      <c r="C178" s="53"/>
      <c r="D178" s="53"/>
      <c r="E178" s="59"/>
      <c r="F178" s="59"/>
      <c r="G178" s="60"/>
      <c r="H178" s="57" t="n">
        <f aca="false">IFERROR(E178*G178,"")</f>
        <v>0</v>
      </c>
      <c r="I178" s="53"/>
      <c r="J178" s="55"/>
      <c r="K178" s="55"/>
      <c r="L178" s="55"/>
      <c r="M178" s="53"/>
      <c r="N178" s="53"/>
    </row>
    <row r="179" customFormat="false" ht="15" hidden="false" customHeight="true" outlineLevel="0" collapsed="false">
      <c r="A179" s="56" t="s">
        <v>260</v>
      </c>
      <c r="B179" s="56"/>
      <c r="C179" s="56"/>
      <c r="D179" s="56"/>
      <c r="E179" s="61" t="n">
        <f aca="false">IFERROR(SUM(E129:E178),0)</f>
        <v>0</v>
      </c>
      <c r="F179" s="61" t="n">
        <f aca="false">IFERROR(SUM(F129:F178),0)</f>
        <v>0</v>
      </c>
      <c r="G179" s="62" t="s">
        <v>298</v>
      </c>
      <c r="H179" s="57" t="n">
        <f aca="false">IFERROR(SUM(H129:H178),0)</f>
        <v>0</v>
      </c>
    </row>
    <row r="180" customFormat="false" ht="19.5" hidden="false" customHeight="true" outlineLevel="0" collapsed="false">
      <c r="A180" s="27" t="s">
        <v>299</v>
      </c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</row>
  </sheetData>
  <mergeCells count="16">
    <mergeCell ref="A1:D1"/>
    <mergeCell ref="A2:D2"/>
    <mergeCell ref="A5:D5"/>
    <mergeCell ref="A24:D24"/>
    <mergeCell ref="A34:D34"/>
    <mergeCell ref="A43:D43"/>
    <mergeCell ref="A54:D54"/>
    <mergeCell ref="A68:D68"/>
    <mergeCell ref="A74:D74"/>
    <mergeCell ref="A85:D85"/>
    <mergeCell ref="A86:D86"/>
    <mergeCell ref="A89:I89"/>
    <mergeCell ref="A126:E126"/>
    <mergeCell ref="A127:E127"/>
    <mergeCell ref="A179:D179"/>
    <mergeCell ref="A180:N180"/>
  </mergeCells>
  <dataValidations count="181">
    <dataValidation allowBlank="true" error="Select a valid option from the list." errorStyle="stop" errorTitle="Invalid Input" operator="between" showDropDown="false" showErrorMessage="true" showInputMessage="false" sqref="B6" type="list">
      <formula1>"On Track,At Risk,Delayed,Not Started,Completed"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70" type="list">
      <formula1>"Low,Medium,High,Critical"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71" type="list">
      <formula1>"Green,Amber,Red"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76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77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78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79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80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81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82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83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1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1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2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2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3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3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4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4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5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5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6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6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7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7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8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8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9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9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0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0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1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1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2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2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3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3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4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4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5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5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6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6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7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7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8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8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9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9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0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0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1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1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2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2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3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3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4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4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5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5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6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6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7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7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8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8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9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9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20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20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21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21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22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22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23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23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24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24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25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25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29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29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0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0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1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1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2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2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3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3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4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4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5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5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6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6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7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7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8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8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9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9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0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0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1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1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2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2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3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3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4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4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5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5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6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6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7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7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8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8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9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9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0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0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1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1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2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2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3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3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4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4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5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5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6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6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7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7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8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8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9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9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0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0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1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1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2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2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3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3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4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4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5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5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6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6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7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7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8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8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9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9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0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0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1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1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2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2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3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3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4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4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5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5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6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6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7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7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8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8" type="list">
      <formula1>"Pending,Confirmed,In Production,Shipped,Delivered,On Hold,Cancelled"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4"/>
    <col collapsed="false" customWidth="true" hidden="false" outlineLevel="0" max="3" min="3" style="1" width="10"/>
    <col collapsed="false" customWidth="true" hidden="false" outlineLevel="0" max="4" min="4" style="1" width="38"/>
    <col collapsed="false" customWidth="true" hidden="false" outlineLevel="0" max="5" min="5" style="1" width="20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8"/>
    <col collapsed="false" customWidth="true" hidden="false" outlineLevel="0" max="9" min="9" style="1" width="20"/>
    <col collapsed="false" customWidth="true" hidden="false" outlineLevel="0" max="10" min="10" style="1" width="13"/>
    <col collapsed="false" customWidth="true" hidden="false" outlineLevel="0" max="12" min="11" style="1" width="14"/>
    <col collapsed="false" customWidth="true" hidden="false" outlineLevel="0" max="13" min="13" style="1" width="16"/>
    <col collapsed="false" customWidth="true" hidden="false" outlineLevel="0" max="14" min="14" style="1" width="26"/>
  </cols>
  <sheetData>
    <row r="1" customFormat="false" ht="21.75" hidden="false" customHeight="true" outlineLevel="0" collapsed="false">
      <c r="A1" s="2" t="s">
        <v>344</v>
      </c>
      <c r="B1" s="2"/>
      <c r="C1" s="2"/>
      <c r="D1" s="2"/>
    </row>
    <row r="2" customFormat="false" ht="16.5" hidden="false" customHeight="true" outlineLevel="0" collapsed="false">
      <c r="A2" s="3" t="s">
        <v>87</v>
      </c>
      <c r="B2" s="3"/>
      <c r="C2" s="3"/>
      <c r="D2" s="3"/>
    </row>
    <row r="3" customFormat="false" ht="16.5" hidden="false" customHeight="true" outlineLevel="0" collapsed="false">
      <c r="A3" s="28" t="s">
        <v>88</v>
      </c>
      <c r="B3" s="29"/>
      <c r="C3" s="30" t="s">
        <v>89</v>
      </c>
      <c r="D3" s="31"/>
    </row>
    <row r="4" customFormat="false" ht="4.5" hidden="false" customHeight="true" outlineLevel="0" collapsed="false"/>
    <row r="5" customFormat="false" ht="19.5" hidden="false" customHeight="true" outlineLevel="0" collapsed="false">
      <c r="A5" s="32" t="s">
        <v>90</v>
      </c>
      <c r="B5" s="32"/>
      <c r="C5" s="32"/>
      <c r="D5" s="32"/>
    </row>
    <row r="6" customFormat="false" ht="18" hidden="false" customHeight="true" outlineLevel="0" collapsed="false">
      <c r="A6" s="33" t="s">
        <v>91</v>
      </c>
      <c r="B6" s="34"/>
      <c r="C6" s="35"/>
      <c r="D6" s="36" t="s">
        <v>93</v>
      </c>
    </row>
    <row r="7" customFormat="false" ht="18" hidden="false" customHeight="true" outlineLevel="0" collapsed="false">
      <c r="A7" s="37" t="s">
        <v>94</v>
      </c>
      <c r="B7" s="38"/>
      <c r="C7" s="35" t="s">
        <v>95</v>
      </c>
      <c r="D7" s="36" t="s">
        <v>96</v>
      </c>
    </row>
    <row r="8" customFormat="false" ht="18" hidden="false" customHeight="true" outlineLevel="0" collapsed="false">
      <c r="A8" s="33" t="s">
        <v>97</v>
      </c>
      <c r="B8" s="39" t="n">
        <f aca="false">IFERROR(SUMIF(H91:H125,"Spent",F91:F125),0)</f>
        <v>0</v>
      </c>
      <c r="C8" s="35" t="s">
        <v>95</v>
      </c>
      <c r="D8" s="36" t="s">
        <v>98</v>
      </c>
    </row>
    <row r="9" customFormat="false" ht="18" hidden="false" customHeight="true" outlineLevel="0" collapsed="false">
      <c r="A9" s="37" t="s">
        <v>99</v>
      </c>
      <c r="B9" s="39" t="n">
        <f aca="false">IFERROR(SUMIF(H91:H125,"Committed",F91:F125),0)</f>
        <v>0</v>
      </c>
      <c r="C9" s="35" t="s">
        <v>95</v>
      </c>
      <c r="D9" s="36" t="s">
        <v>98</v>
      </c>
    </row>
    <row r="10" customFormat="false" ht="18" hidden="false" customHeight="true" outlineLevel="0" collapsed="false">
      <c r="A10" s="33" t="s">
        <v>100</v>
      </c>
      <c r="B10" s="40" t="n">
        <f aca="false">IFERROR(B7-B8-B9,"")</f>
        <v>0</v>
      </c>
      <c r="C10" s="35" t="s">
        <v>95</v>
      </c>
      <c r="D10" s="36" t="s">
        <v>101</v>
      </c>
    </row>
    <row r="11" customFormat="false" ht="18" hidden="false" customHeight="true" outlineLevel="0" collapsed="false">
      <c r="A11" s="37" t="s">
        <v>102</v>
      </c>
      <c r="B11" s="41" t="str">
        <f aca="false">IFERROR(B8/B7,"")</f>
        <v/>
      </c>
      <c r="C11" s="35" t="s">
        <v>103</v>
      </c>
      <c r="D11" s="36" t="s">
        <v>104</v>
      </c>
    </row>
    <row r="12" customFormat="false" ht="18" hidden="false" customHeight="true" outlineLevel="0" collapsed="false">
      <c r="A12" s="33" t="s">
        <v>105</v>
      </c>
      <c r="B12" s="42"/>
      <c r="C12" s="35" t="s">
        <v>106</v>
      </c>
      <c r="D12" s="36" t="s">
        <v>107</v>
      </c>
    </row>
    <row r="13" customFormat="false" ht="18" hidden="false" customHeight="true" outlineLevel="0" collapsed="false">
      <c r="A13" s="37" t="s">
        <v>108</v>
      </c>
      <c r="B13" s="42"/>
      <c r="C13" s="35" t="s">
        <v>106</v>
      </c>
      <c r="D13" s="36" t="s">
        <v>109</v>
      </c>
    </row>
    <row r="14" customFormat="false" ht="18" hidden="false" customHeight="true" outlineLevel="0" collapsed="false">
      <c r="A14" s="33" t="s">
        <v>110</v>
      </c>
      <c r="B14" s="41" t="str">
        <f aca="false">IFERROR(B13/B12,"")</f>
        <v/>
      </c>
      <c r="C14" s="35" t="s">
        <v>103</v>
      </c>
      <c r="D14" s="36" t="s">
        <v>104</v>
      </c>
    </row>
    <row r="15" customFormat="false" ht="18" hidden="false" customHeight="true" outlineLevel="0" collapsed="false">
      <c r="A15" s="37" t="s">
        <v>111</v>
      </c>
      <c r="B15" s="31"/>
      <c r="C15" s="35" t="s">
        <v>112</v>
      </c>
      <c r="D15" s="36" t="s">
        <v>113</v>
      </c>
    </row>
    <row r="16" customFormat="false" ht="18" hidden="false" customHeight="true" outlineLevel="0" collapsed="false">
      <c r="A16" s="33" t="s">
        <v>114</v>
      </c>
      <c r="B16" s="31"/>
      <c r="C16" s="35" t="s">
        <v>112</v>
      </c>
      <c r="D16" s="36" t="s">
        <v>115</v>
      </c>
    </row>
    <row r="17" customFormat="false" ht="18" hidden="false" customHeight="true" outlineLevel="0" collapsed="false">
      <c r="A17" s="37" t="s">
        <v>116</v>
      </c>
      <c r="B17" s="41" t="str">
        <f aca="false">IFERROR(B16/B15,"")</f>
        <v/>
      </c>
      <c r="C17" s="35" t="s">
        <v>103</v>
      </c>
      <c r="D17" s="36" t="s">
        <v>104</v>
      </c>
    </row>
    <row r="18" customFormat="false" ht="18" hidden="false" customHeight="true" outlineLevel="0" collapsed="false">
      <c r="A18" s="33" t="s">
        <v>117</v>
      </c>
      <c r="B18" s="29"/>
      <c r="C18" s="35" t="s">
        <v>118</v>
      </c>
      <c r="D18" s="36" t="s">
        <v>119</v>
      </c>
    </row>
    <row r="19" customFormat="false" ht="18" hidden="false" customHeight="true" outlineLevel="0" collapsed="false">
      <c r="A19" s="37" t="s">
        <v>120</v>
      </c>
      <c r="B19" s="29"/>
      <c r="C19" s="35" t="s">
        <v>118</v>
      </c>
      <c r="D19" s="36" t="s">
        <v>121</v>
      </c>
    </row>
    <row r="20" customFormat="false" ht="18" hidden="false" customHeight="true" outlineLevel="0" collapsed="false">
      <c r="A20" s="33" t="s">
        <v>122</v>
      </c>
      <c r="B20" s="29"/>
      <c r="C20" s="35" t="s">
        <v>118</v>
      </c>
      <c r="D20" s="36" t="s">
        <v>123</v>
      </c>
    </row>
    <row r="21" customFormat="false" ht="18" hidden="false" customHeight="true" outlineLevel="0" collapsed="false">
      <c r="A21" s="37" t="s">
        <v>124</v>
      </c>
      <c r="B21" s="31"/>
      <c r="C21" s="35"/>
      <c r="D21" s="36" t="s">
        <v>126</v>
      </c>
    </row>
    <row r="22" customFormat="false" ht="18" hidden="false" customHeight="true" outlineLevel="0" collapsed="false">
      <c r="A22" s="33" t="s">
        <v>127</v>
      </c>
      <c r="B22" s="31"/>
      <c r="C22" s="35"/>
      <c r="D22" s="36" t="s">
        <v>129</v>
      </c>
    </row>
    <row r="23" customFormat="false" ht="4.5" hidden="false" customHeight="true" outlineLevel="0" collapsed="false"/>
    <row r="24" customFormat="false" ht="19.5" hidden="false" customHeight="true" outlineLevel="0" collapsed="false">
      <c r="A24" s="32" t="s">
        <v>130</v>
      </c>
      <c r="B24" s="32"/>
      <c r="C24" s="32"/>
      <c r="D24" s="32"/>
    </row>
    <row r="25" customFormat="false" ht="16.5" hidden="false" customHeight="true" outlineLevel="0" collapsed="false">
      <c r="A25" s="37" t="s">
        <v>131</v>
      </c>
      <c r="B25" s="31"/>
      <c r="C25" s="35" t="s">
        <v>133</v>
      </c>
      <c r="D25" s="36" t="s">
        <v>134</v>
      </c>
    </row>
    <row r="26" customFormat="false" ht="16.5" hidden="false" customHeight="true" outlineLevel="0" collapsed="false">
      <c r="A26" s="33" t="s">
        <v>135</v>
      </c>
      <c r="B26" s="31"/>
      <c r="C26" s="35" t="s">
        <v>133</v>
      </c>
      <c r="D26" s="36" t="s">
        <v>134</v>
      </c>
    </row>
    <row r="27" customFormat="false" ht="16.5" hidden="false" customHeight="true" outlineLevel="0" collapsed="false">
      <c r="A27" s="37" t="s">
        <v>137</v>
      </c>
      <c r="B27" s="31"/>
      <c r="C27" s="35" t="s">
        <v>133</v>
      </c>
      <c r="D27" s="36" t="s">
        <v>134</v>
      </c>
    </row>
    <row r="28" customFormat="false" ht="16.5" hidden="false" customHeight="true" outlineLevel="0" collapsed="false">
      <c r="A28" s="33" t="s">
        <v>139</v>
      </c>
      <c r="B28" s="31"/>
      <c r="C28" s="35" t="s">
        <v>133</v>
      </c>
      <c r="D28" s="36" t="s">
        <v>134</v>
      </c>
    </row>
    <row r="29" customFormat="false" ht="16.5" hidden="false" customHeight="true" outlineLevel="0" collapsed="false">
      <c r="A29" s="37" t="s">
        <v>141</v>
      </c>
      <c r="B29" s="31"/>
      <c r="C29" s="35" t="s">
        <v>133</v>
      </c>
      <c r="D29" s="36" t="s">
        <v>134</v>
      </c>
    </row>
    <row r="30" customFormat="false" ht="16.5" hidden="false" customHeight="true" outlineLevel="0" collapsed="false">
      <c r="A30" s="33" t="s">
        <v>143</v>
      </c>
      <c r="B30" s="31"/>
      <c r="C30" s="35" t="s">
        <v>133</v>
      </c>
      <c r="D30" s="36" t="s">
        <v>134</v>
      </c>
    </row>
    <row r="31" customFormat="false" ht="16.5" hidden="false" customHeight="true" outlineLevel="0" collapsed="false">
      <c r="A31" s="37" t="s">
        <v>144</v>
      </c>
      <c r="B31" s="31"/>
      <c r="C31" s="35" t="s">
        <v>133</v>
      </c>
      <c r="D31" s="36" t="s">
        <v>134</v>
      </c>
    </row>
    <row r="32" customFormat="false" ht="16.5" hidden="false" customHeight="true" outlineLevel="0" collapsed="false">
      <c r="A32" s="33" t="s">
        <v>145</v>
      </c>
      <c r="B32" s="31"/>
      <c r="C32" s="35" t="s">
        <v>133</v>
      </c>
      <c r="D32" s="36" t="s">
        <v>134</v>
      </c>
    </row>
    <row r="33" customFormat="false" ht="4.5" hidden="false" customHeight="true" outlineLevel="0" collapsed="false"/>
    <row r="34" customFormat="false" ht="19.5" hidden="false" customHeight="true" outlineLevel="0" collapsed="false">
      <c r="A34" s="32" t="s">
        <v>146</v>
      </c>
      <c r="B34" s="32"/>
      <c r="C34" s="32"/>
      <c r="D34" s="32"/>
    </row>
    <row r="35" customFormat="false" ht="18" hidden="false" customHeight="true" outlineLevel="0" collapsed="false">
      <c r="A35" s="33" t="s">
        <v>147</v>
      </c>
      <c r="B35" s="40" t="n">
        <f aca="false">IFERROR(COUNTIF(M129:M178,"Pending"),0)</f>
        <v>0</v>
      </c>
      <c r="C35" s="35" t="s">
        <v>106</v>
      </c>
      <c r="D35" s="36" t="s">
        <v>148</v>
      </c>
    </row>
    <row r="36" customFormat="false" ht="18" hidden="false" customHeight="true" outlineLevel="0" collapsed="false">
      <c r="A36" s="37" t="s">
        <v>149</v>
      </c>
      <c r="B36" s="40" t="n">
        <f aca="false">IFERROR(COUNTIF(M129:M178,"Confirmed"),0)</f>
        <v>0</v>
      </c>
      <c r="C36" s="35" t="s">
        <v>106</v>
      </c>
      <c r="D36" s="36" t="s">
        <v>148</v>
      </c>
    </row>
    <row r="37" customFormat="false" ht="18" hidden="false" customHeight="true" outlineLevel="0" collapsed="false">
      <c r="A37" s="33" t="s">
        <v>150</v>
      </c>
      <c r="B37" s="40" t="n">
        <f aca="false">IFERROR(COUNTIF(M129:M178,"In Production"),0)</f>
        <v>0</v>
      </c>
      <c r="C37" s="35" t="s">
        <v>106</v>
      </c>
      <c r="D37" s="36" t="s">
        <v>148</v>
      </c>
    </row>
    <row r="38" customFormat="false" ht="18" hidden="false" customHeight="true" outlineLevel="0" collapsed="false">
      <c r="A38" s="37" t="s">
        <v>151</v>
      </c>
      <c r="B38" s="40" t="n">
        <f aca="false">IFERROR(COUNTIF(M129:M178,"Shipped"),0)</f>
        <v>0</v>
      </c>
      <c r="C38" s="35" t="s">
        <v>106</v>
      </c>
      <c r="D38" s="36" t="s">
        <v>148</v>
      </c>
    </row>
    <row r="39" customFormat="false" ht="18" hidden="false" customHeight="true" outlineLevel="0" collapsed="false">
      <c r="A39" s="33" t="s">
        <v>152</v>
      </c>
      <c r="B39" s="40" t="n">
        <f aca="false">IFERROR(COUNTIF(M129:M178,"Delivered"),0)</f>
        <v>0</v>
      </c>
      <c r="C39" s="35" t="s">
        <v>106</v>
      </c>
      <c r="D39" s="36" t="s">
        <v>148</v>
      </c>
    </row>
    <row r="40" customFormat="false" ht="18" hidden="false" customHeight="true" outlineLevel="0" collapsed="false">
      <c r="A40" s="37" t="s">
        <v>153</v>
      </c>
      <c r="B40" s="40" t="n">
        <f aca="false">IFERROR(SUM(B35:B39),0)</f>
        <v>0</v>
      </c>
      <c r="C40" s="35" t="s">
        <v>106</v>
      </c>
      <c r="D40" s="36" t="s">
        <v>154</v>
      </c>
    </row>
    <row r="41" customFormat="false" ht="18" hidden="false" customHeight="true" outlineLevel="0" collapsed="false">
      <c r="A41" s="33" t="s">
        <v>155</v>
      </c>
      <c r="B41" s="43"/>
      <c r="C41" s="35" t="s">
        <v>103</v>
      </c>
      <c r="D41" s="36" t="s">
        <v>156</v>
      </c>
    </row>
    <row r="42" customFormat="false" ht="4.5" hidden="false" customHeight="true" outlineLevel="0" collapsed="false"/>
    <row r="43" customFormat="false" ht="19.5" hidden="false" customHeight="true" outlineLevel="0" collapsed="false">
      <c r="A43" s="32" t="s">
        <v>157</v>
      </c>
      <c r="B43" s="32"/>
      <c r="C43" s="32"/>
      <c r="D43" s="32"/>
    </row>
    <row r="44" customFormat="false" ht="18" hidden="false" customHeight="true" outlineLevel="0" collapsed="false">
      <c r="A44" s="33" t="s">
        <v>158</v>
      </c>
      <c r="B44" s="42"/>
      <c r="C44" s="35" t="s">
        <v>159</v>
      </c>
      <c r="D44" s="36" t="s">
        <v>160</v>
      </c>
    </row>
    <row r="45" customFormat="false" ht="18" hidden="false" customHeight="true" outlineLevel="0" collapsed="false">
      <c r="A45" s="37" t="s">
        <v>161</v>
      </c>
      <c r="B45" s="42"/>
      <c r="C45" s="35" t="s">
        <v>159</v>
      </c>
      <c r="D45" s="36" t="s">
        <v>162</v>
      </c>
    </row>
    <row r="46" customFormat="false" ht="18" hidden="false" customHeight="true" outlineLevel="0" collapsed="false">
      <c r="A46" s="33" t="s">
        <v>163</v>
      </c>
      <c r="B46" s="40" t="n">
        <f aca="false">IFERROR(B44+B45,"")</f>
        <v>0</v>
      </c>
      <c r="C46" s="35" t="s">
        <v>159</v>
      </c>
      <c r="D46" s="36" t="s">
        <v>104</v>
      </c>
    </row>
    <row r="47" customFormat="false" ht="18" hidden="false" customHeight="true" outlineLevel="0" collapsed="false">
      <c r="A47" s="37" t="s">
        <v>164</v>
      </c>
      <c r="B47" s="42"/>
      <c r="C47" s="35" t="s">
        <v>159</v>
      </c>
      <c r="D47" s="36" t="s">
        <v>165</v>
      </c>
    </row>
    <row r="48" customFormat="false" ht="18" hidden="false" customHeight="true" outlineLevel="0" collapsed="false">
      <c r="A48" s="33" t="s">
        <v>166</v>
      </c>
      <c r="B48" s="41" t="str">
        <f aca="false">IFERROR((B44+B45)/B47,"")</f>
        <v/>
      </c>
      <c r="C48" s="35" t="s">
        <v>103</v>
      </c>
      <c r="D48" s="36" t="s">
        <v>104</v>
      </c>
    </row>
    <row r="49" customFormat="false" ht="18" hidden="false" customHeight="true" outlineLevel="0" collapsed="false">
      <c r="A49" s="37" t="s">
        <v>167</v>
      </c>
      <c r="B49" s="31"/>
      <c r="C49" s="35" t="s">
        <v>169</v>
      </c>
      <c r="D49" s="36" t="s">
        <v>170</v>
      </c>
    </row>
    <row r="50" customFormat="false" ht="18" hidden="false" customHeight="true" outlineLevel="0" collapsed="false">
      <c r="A50" s="33" t="s">
        <v>171</v>
      </c>
      <c r="B50" s="31"/>
      <c r="C50" s="35" t="s">
        <v>169</v>
      </c>
      <c r="D50" s="36" t="s">
        <v>173</v>
      </c>
    </row>
    <row r="51" customFormat="false" ht="18" hidden="false" customHeight="true" outlineLevel="0" collapsed="false">
      <c r="A51" s="37" t="s">
        <v>174</v>
      </c>
      <c r="B51" s="31"/>
      <c r="C51" s="35" t="s">
        <v>169</v>
      </c>
      <c r="D51" s="36"/>
    </row>
    <row r="52" customFormat="false" ht="18" hidden="false" customHeight="true" outlineLevel="0" collapsed="false">
      <c r="A52" s="33" t="s">
        <v>176</v>
      </c>
      <c r="B52" s="31"/>
      <c r="C52" s="35" t="s">
        <v>169</v>
      </c>
      <c r="D52" s="36"/>
    </row>
    <row r="53" customFormat="false" ht="4.5" hidden="false" customHeight="true" outlineLevel="0" collapsed="false"/>
    <row r="54" customFormat="false" ht="19.5" hidden="false" customHeight="true" outlineLevel="0" collapsed="false">
      <c r="A54" s="32" t="s">
        <v>177</v>
      </c>
      <c r="B54" s="32"/>
      <c r="C54" s="32"/>
      <c r="D54" s="32"/>
    </row>
    <row r="55" customFormat="false" ht="18" hidden="false" customHeight="true" outlineLevel="0" collapsed="false">
      <c r="A55" s="33" t="s">
        <v>178</v>
      </c>
      <c r="B55" s="42"/>
      <c r="C55" s="35" t="s">
        <v>106</v>
      </c>
      <c r="D55" s="36" t="s">
        <v>179</v>
      </c>
    </row>
    <row r="56" customFormat="false" ht="18" hidden="false" customHeight="true" outlineLevel="0" collapsed="false">
      <c r="A56" s="37" t="s">
        <v>180</v>
      </c>
      <c r="B56" s="42"/>
      <c r="C56" s="35" t="s">
        <v>106</v>
      </c>
      <c r="D56" s="36" t="s">
        <v>181</v>
      </c>
    </row>
    <row r="57" customFormat="false" ht="18" hidden="false" customHeight="true" outlineLevel="0" collapsed="false">
      <c r="A57" s="33" t="s">
        <v>182</v>
      </c>
      <c r="B57" s="42"/>
      <c r="C57" s="35" t="s">
        <v>106</v>
      </c>
      <c r="D57" s="36" t="s">
        <v>183</v>
      </c>
    </row>
    <row r="58" customFormat="false" ht="18" hidden="false" customHeight="true" outlineLevel="0" collapsed="false">
      <c r="A58" s="37" t="s">
        <v>184</v>
      </c>
      <c r="B58" s="42"/>
      <c r="C58" s="35" t="s">
        <v>106</v>
      </c>
      <c r="D58" s="36" t="s">
        <v>185</v>
      </c>
    </row>
    <row r="59" customFormat="false" ht="18" hidden="false" customHeight="true" outlineLevel="0" collapsed="false">
      <c r="A59" s="33" t="s">
        <v>186</v>
      </c>
      <c r="B59" s="41" t="str">
        <f aca="false">IFERROR(B56/B55,"")</f>
        <v/>
      </c>
      <c r="C59" s="35" t="s">
        <v>103</v>
      </c>
      <c r="D59" s="36" t="s">
        <v>104</v>
      </c>
    </row>
    <row r="60" customFormat="false" ht="18" hidden="false" customHeight="true" outlineLevel="0" collapsed="false">
      <c r="A60" s="37" t="s">
        <v>187</v>
      </c>
      <c r="B60" s="41" t="str">
        <f aca="false">IFERROR(B57/B55,"")</f>
        <v/>
      </c>
      <c r="C60" s="35" t="s">
        <v>103</v>
      </c>
      <c r="D60" s="36" t="s">
        <v>104</v>
      </c>
    </row>
    <row r="61" customFormat="false" ht="18" hidden="false" customHeight="true" outlineLevel="0" collapsed="false">
      <c r="A61" s="33" t="s">
        <v>188</v>
      </c>
      <c r="B61" s="41" t="str">
        <f aca="false">IFERROR(B58/B55,"")</f>
        <v/>
      </c>
      <c r="C61" s="35" t="s">
        <v>103</v>
      </c>
      <c r="D61" s="36" t="s">
        <v>104</v>
      </c>
    </row>
    <row r="62" customFormat="false" ht="18" hidden="false" customHeight="true" outlineLevel="0" collapsed="false">
      <c r="A62" s="37" t="s">
        <v>189</v>
      </c>
      <c r="B62" s="31"/>
      <c r="C62" s="35"/>
      <c r="D62" s="36" t="s">
        <v>191</v>
      </c>
    </row>
    <row r="63" customFormat="false" ht="18" hidden="false" customHeight="true" outlineLevel="0" collapsed="false">
      <c r="A63" s="33" t="s">
        <v>192</v>
      </c>
      <c r="B63" s="31"/>
      <c r="C63" s="35"/>
      <c r="D63" s="36"/>
    </row>
    <row r="64" customFormat="false" ht="18" hidden="false" customHeight="true" outlineLevel="0" collapsed="false">
      <c r="A64" s="37" t="s">
        <v>194</v>
      </c>
      <c r="B64" s="31"/>
      <c r="C64" s="35"/>
      <c r="D64" s="36"/>
    </row>
    <row r="65" customFormat="false" ht="18" hidden="false" customHeight="true" outlineLevel="0" collapsed="false">
      <c r="A65" s="33" t="s">
        <v>196</v>
      </c>
      <c r="B65" s="31"/>
      <c r="C65" s="35"/>
      <c r="D65" s="36"/>
    </row>
    <row r="66" customFormat="false" ht="18" hidden="false" customHeight="true" outlineLevel="0" collapsed="false">
      <c r="A66" s="37" t="s">
        <v>198</v>
      </c>
      <c r="B66" s="31"/>
      <c r="C66" s="35"/>
      <c r="D66" s="36"/>
    </row>
    <row r="67" customFormat="false" ht="4.5" hidden="false" customHeight="true" outlineLevel="0" collapsed="false"/>
    <row r="68" customFormat="false" ht="19.5" hidden="false" customHeight="true" outlineLevel="0" collapsed="false">
      <c r="A68" s="32" t="s">
        <v>199</v>
      </c>
      <c r="B68" s="32"/>
      <c r="C68" s="32"/>
      <c r="D68" s="32"/>
    </row>
    <row r="69" customFormat="false" ht="18" hidden="false" customHeight="true" outlineLevel="0" collapsed="false">
      <c r="A69" s="33" t="s">
        <v>200</v>
      </c>
      <c r="B69" s="43"/>
      <c r="C69" s="35" t="s">
        <v>103</v>
      </c>
      <c r="D69" s="36" t="s">
        <v>201</v>
      </c>
    </row>
    <row r="70" customFormat="false" ht="18" hidden="false" customHeight="true" outlineLevel="0" collapsed="false">
      <c r="A70" s="37" t="s">
        <v>202</v>
      </c>
      <c r="B70" s="31"/>
      <c r="C70" s="35"/>
      <c r="D70" s="36" t="s">
        <v>204</v>
      </c>
    </row>
    <row r="71" customFormat="false" ht="18" hidden="false" customHeight="true" outlineLevel="0" collapsed="false">
      <c r="A71" s="33" t="s">
        <v>205</v>
      </c>
      <c r="B71" s="31"/>
      <c r="C71" s="35"/>
      <c r="D71" s="36" t="s">
        <v>206</v>
      </c>
    </row>
    <row r="72" customFormat="false" ht="18" hidden="false" customHeight="true" outlineLevel="0" collapsed="false">
      <c r="A72" s="37" t="s">
        <v>207</v>
      </c>
      <c r="B72" s="31"/>
      <c r="C72" s="35"/>
      <c r="D72" s="36" t="s">
        <v>208</v>
      </c>
    </row>
    <row r="73" customFormat="false" ht="4.5" hidden="false" customHeight="true" outlineLevel="0" collapsed="false"/>
    <row r="74" customFormat="false" ht="19.5" hidden="false" customHeight="true" outlineLevel="0" collapsed="false">
      <c r="A74" s="44" t="s">
        <v>209</v>
      </c>
      <c r="B74" s="44"/>
      <c r="C74" s="44"/>
      <c r="D74" s="44"/>
    </row>
    <row r="75" customFormat="false" ht="18" hidden="false" customHeight="true" outlineLevel="0" collapsed="false">
      <c r="A75" s="45" t="s">
        <v>210</v>
      </c>
      <c r="B75" s="45" t="s">
        <v>211</v>
      </c>
      <c r="C75" s="45" t="s">
        <v>212</v>
      </c>
      <c r="D75" s="45" t="s">
        <v>213</v>
      </c>
    </row>
    <row r="76" customFormat="false" ht="30" hidden="false" customHeight="true" outlineLevel="0" collapsed="false">
      <c r="A76" s="46" t="n">
        <v>1</v>
      </c>
      <c r="B76" s="47"/>
      <c r="C76" s="48"/>
      <c r="D76" s="48"/>
    </row>
    <row r="77" customFormat="false" ht="30" hidden="false" customHeight="true" outlineLevel="0" collapsed="false">
      <c r="A77" s="49" t="n">
        <v>2</v>
      </c>
      <c r="B77" s="47"/>
      <c r="C77" s="48"/>
      <c r="D77" s="48"/>
    </row>
    <row r="78" customFormat="false" ht="30" hidden="false" customHeight="true" outlineLevel="0" collapsed="false">
      <c r="A78" s="46" t="n">
        <v>3</v>
      </c>
      <c r="B78" s="47"/>
      <c r="C78" s="48"/>
      <c r="D78" s="48"/>
    </row>
    <row r="79" customFormat="false" ht="30" hidden="false" customHeight="true" outlineLevel="0" collapsed="false">
      <c r="A79" s="49" t="n">
        <v>4</v>
      </c>
      <c r="B79" s="47"/>
      <c r="C79" s="48"/>
      <c r="D79" s="48"/>
    </row>
    <row r="80" customFormat="false" ht="30" hidden="false" customHeight="true" outlineLevel="0" collapsed="false">
      <c r="A80" s="46" t="n">
        <v>5</v>
      </c>
      <c r="B80" s="47"/>
      <c r="C80" s="48"/>
      <c r="D80" s="48"/>
    </row>
    <row r="81" customFormat="false" ht="30" hidden="false" customHeight="true" outlineLevel="0" collapsed="false">
      <c r="A81" s="49" t="n">
        <v>6</v>
      </c>
      <c r="B81" s="47"/>
      <c r="C81" s="48"/>
      <c r="D81" s="48"/>
    </row>
    <row r="82" customFormat="false" ht="30" hidden="false" customHeight="true" outlineLevel="0" collapsed="false">
      <c r="A82" s="46" t="n">
        <v>7</v>
      </c>
      <c r="B82" s="47"/>
      <c r="C82" s="48"/>
      <c r="D82" s="48"/>
    </row>
    <row r="83" customFormat="false" ht="30" hidden="false" customHeight="true" outlineLevel="0" collapsed="false">
      <c r="A83" s="49" t="n">
        <v>8</v>
      </c>
      <c r="B83" s="47"/>
      <c r="C83" s="48"/>
      <c r="D83" s="48"/>
    </row>
    <row r="84" customFormat="false" ht="4.5" hidden="false" customHeight="true" outlineLevel="0" collapsed="false"/>
    <row r="85" customFormat="false" ht="13.5" hidden="false" customHeight="true" outlineLevel="0" collapsed="false">
      <c r="A85" s="26" t="s">
        <v>219</v>
      </c>
      <c r="B85" s="26"/>
      <c r="C85" s="26"/>
      <c r="D85" s="26"/>
    </row>
    <row r="86" customFormat="false" ht="13.5" hidden="false" customHeight="true" outlineLevel="0" collapsed="false">
      <c r="A86" s="50" t="s">
        <v>220</v>
      </c>
      <c r="B86" s="50"/>
      <c r="C86" s="50"/>
      <c r="D86" s="50"/>
    </row>
    <row r="87" customFormat="false" ht="7.5" hidden="false" customHeight="true" outlineLevel="0" collapsed="false"/>
    <row r="88" customFormat="false" ht="7.5" hidden="false" customHeight="true" outlineLevel="0" collapsed="false"/>
    <row r="89" customFormat="false" ht="19.5" hidden="false" customHeight="true" outlineLevel="0" collapsed="false">
      <c r="A89" s="32" t="s">
        <v>221</v>
      </c>
      <c r="B89" s="32"/>
      <c r="C89" s="32"/>
      <c r="D89" s="32"/>
      <c r="E89" s="32"/>
      <c r="F89" s="32"/>
      <c r="G89" s="32"/>
      <c r="H89" s="32"/>
      <c r="I89" s="32"/>
    </row>
    <row r="90" customFormat="false" ht="30" hidden="false" customHeight="true" outlineLevel="0" collapsed="false">
      <c r="A90" s="51" t="s">
        <v>106</v>
      </c>
      <c r="B90" s="51" t="s">
        <v>222</v>
      </c>
      <c r="C90" s="51" t="s">
        <v>223</v>
      </c>
      <c r="D90" s="51" t="s">
        <v>224</v>
      </c>
      <c r="E90" s="51" t="s">
        <v>225</v>
      </c>
      <c r="F90" s="51" t="s">
        <v>226</v>
      </c>
      <c r="G90" s="51" t="s">
        <v>227</v>
      </c>
      <c r="H90" s="51" t="s">
        <v>228</v>
      </c>
      <c r="I90" s="51" t="s">
        <v>229</v>
      </c>
    </row>
    <row r="91" customFormat="false" ht="16.5" hidden="false" customHeight="true" outlineLevel="0" collapsed="false">
      <c r="A91" s="52" t="n">
        <v>1</v>
      </c>
      <c r="B91" s="53"/>
      <c r="C91" s="53"/>
      <c r="D91" s="53"/>
      <c r="E91" s="53"/>
      <c r="F91" s="54"/>
      <c r="G91" s="55"/>
      <c r="H91" s="53"/>
      <c r="I91" s="53"/>
    </row>
    <row r="92" customFormat="false" ht="16.5" hidden="false" customHeight="true" outlineLevel="0" collapsed="false">
      <c r="A92" s="52" t="n">
        <v>2</v>
      </c>
      <c r="B92" s="53"/>
      <c r="C92" s="53"/>
      <c r="D92" s="53"/>
      <c r="E92" s="53"/>
      <c r="F92" s="54"/>
      <c r="G92" s="55"/>
      <c r="H92" s="53"/>
      <c r="I92" s="53"/>
    </row>
    <row r="93" customFormat="false" ht="16.5" hidden="false" customHeight="true" outlineLevel="0" collapsed="false">
      <c r="A93" s="52" t="n">
        <v>3</v>
      </c>
      <c r="B93" s="53"/>
      <c r="C93" s="53"/>
      <c r="D93" s="53"/>
      <c r="E93" s="53"/>
      <c r="F93" s="54"/>
      <c r="G93" s="55"/>
      <c r="H93" s="53"/>
      <c r="I93" s="53"/>
    </row>
    <row r="94" customFormat="false" ht="16.5" hidden="false" customHeight="true" outlineLevel="0" collapsed="false">
      <c r="A94" s="52" t="n">
        <v>4</v>
      </c>
      <c r="B94" s="53"/>
      <c r="C94" s="53"/>
      <c r="D94" s="53"/>
      <c r="E94" s="53"/>
      <c r="F94" s="54"/>
      <c r="G94" s="55"/>
      <c r="H94" s="53"/>
      <c r="I94" s="53"/>
    </row>
    <row r="95" customFormat="false" ht="16.5" hidden="false" customHeight="true" outlineLevel="0" collapsed="false">
      <c r="A95" s="52" t="n">
        <v>5</v>
      </c>
      <c r="B95" s="53"/>
      <c r="C95" s="53"/>
      <c r="D95" s="53"/>
      <c r="E95" s="53"/>
      <c r="F95" s="54"/>
      <c r="G95" s="55"/>
      <c r="H95" s="53"/>
      <c r="I95" s="53"/>
    </row>
    <row r="96" customFormat="false" ht="16.5" hidden="false" customHeight="true" outlineLevel="0" collapsed="false">
      <c r="A96" s="52" t="n">
        <v>6</v>
      </c>
      <c r="B96" s="53"/>
      <c r="C96" s="53"/>
      <c r="D96" s="53"/>
      <c r="E96" s="53"/>
      <c r="F96" s="54"/>
      <c r="G96" s="55"/>
      <c r="H96" s="53"/>
      <c r="I96" s="53"/>
    </row>
    <row r="97" customFormat="false" ht="16.5" hidden="false" customHeight="true" outlineLevel="0" collapsed="false">
      <c r="A97" s="52" t="n">
        <v>7</v>
      </c>
      <c r="B97" s="53"/>
      <c r="C97" s="53"/>
      <c r="D97" s="53"/>
      <c r="E97" s="53"/>
      <c r="F97" s="54"/>
      <c r="G97" s="55"/>
      <c r="H97" s="53"/>
      <c r="I97" s="53"/>
    </row>
    <row r="98" customFormat="false" ht="16.5" hidden="false" customHeight="true" outlineLevel="0" collapsed="false">
      <c r="A98" s="52" t="n">
        <v>8</v>
      </c>
      <c r="B98" s="53"/>
      <c r="C98" s="53"/>
      <c r="D98" s="53"/>
      <c r="E98" s="53"/>
      <c r="F98" s="54"/>
      <c r="G98" s="55"/>
      <c r="H98" s="53"/>
      <c r="I98" s="53"/>
    </row>
    <row r="99" customFormat="false" ht="16.5" hidden="false" customHeight="true" outlineLevel="0" collapsed="false">
      <c r="A99" s="52" t="n">
        <v>9</v>
      </c>
      <c r="B99" s="53"/>
      <c r="C99" s="53"/>
      <c r="D99" s="53"/>
      <c r="E99" s="53"/>
      <c r="F99" s="54"/>
      <c r="G99" s="55"/>
      <c r="H99" s="53"/>
      <c r="I99" s="53"/>
    </row>
    <row r="100" customFormat="false" ht="16.5" hidden="false" customHeight="true" outlineLevel="0" collapsed="false">
      <c r="A100" s="52" t="n">
        <v>10</v>
      </c>
      <c r="B100" s="53"/>
      <c r="C100" s="53"/>
      <c r="D100" s="53"/>
      <c r="E100" s="53"/>
      <c r="F100" s="54"/>
      <c r="G100" s="55"/>
      <c r="H100" s="53"/>
      <c r="I100" s="53"/>
    </row>
    <row r="101" customFormat="false" ht="16.5" hidden="false" customHeight="true" outlineLevel="0" collapsed="false">
      <c r="A101" s="52" t="n">
        <v>11</v>
      </c>
      <c r="B101" s="53"/>
      <c r="C101" s="53"/>
      <c r="D101" s="53"/>
      <c r="E101" s="53"/>
      <c r="F101" s="54"/>
      <c r="G101" s="55"/>
      <c r="H101" s="53"/>
      <c r="I101" s="53"/>
    </row>
    <row r="102" customFormat="false" ht="16.5" hidden="false" customHeight="true" outlineLevel="0" collapsed="false">
      <c r="A102" s="52" t="n">
        <v>12</v>
      </c>
      <c r="B102" s="53"/>
      <c r="C102" s="53"/>
      <c r="D102" s="53"/>
      <c r="E102" s="53"/>
      <c r="F102" s="54"/>
      <c r="G102" s="55"/>
      <c r="H102" s="53"/>
      <c r="I102" s="53"/>
    </row>
    <row r="103" customFormat="false" ht="16.5" hidden="false" customHeight="true" outlineLevel="0" collapsed="false">
      <c r="A103" s="52" t="n">
        <v>13</v>
      </c>
      <c r="B103" s="53"/>
      <c r="C103" s="53"/>
      <c r="D103" s="53"/>
      <c r="E103" s="53"/>
      <c r="F103" s="54"/>
      <c r="G103" s="55"/>
      <c r="H103" s="53"/>
      <c r="I103" s="53"/>
    </row>
    <row r="104" customFormat="false" ht="16.5" hidden="false" customHeight="true" outlineLevel="0" collapsed="false">
      <c r="A104" s="52" t="n">
        <v>14</v>
      </c>
      <c r="B104" s="53"/>
      <c r="C104" s="53"/>
      <c r="D104" s="53"/>
      <c r="E104" s="53"/>
      <c r="F104" s="54"/>
      <c r="G104" s="55"/>
      <c r="H104" s="53"/>
      <c r="I104" s="53"/>
    </row>
    <row r="105" customFormat="false" ht="16.5" hidden="false" customHeight="true" outlineLevel="0" collapsed="false">
      <c r="A105" s="52" t="n">
        <v>15</v>
      </c>
      <c r="B105" s="53"/>
      <c r="C105" s="53"/>
      <c r="D105" s="53"/>
      <c r="E105" s="53"/>
      <c r="F105" s="54"/>
      <c r="G105" s="55"/>
      <c r="H105" s="53"/>
      <c r="I105" s="53"/>
    </row>
    <row r="106" customFormat="false" ht="16.5" hidden="false" customHeight="true" outlineLevel="0" collapsed="false">
      <c r="A106" s="52" t="n">
        <v>16</v>
      </c>
      <c r="B106" s="53"/>
      <c r="C106" s="53"/>
      <c r="D106" s="53"/>
      <c r="E106" s="53"/>
      <c r="F106" s="54"/>
      <c r="G106" s="55"/>
      <c r="H106" s="53"/>
      <c r="I106" s="53"/>
    </row>
    <row r="107" customFormat="false" ht="16.5" hidden="false" customHeight="true" outlineLevel="0" collapsed="false">
      <c r="A107" s="52" t="n">
        <v>17</v>
      </c>
      <c r="B107" s="53"/>
      <c r="C107" s="53"/>
      <c r="D107" s="53"/>
      <c r="E107" s="53"/>
      <c r="F107" s="54"/>
      <c r="G107" s="55"/>
      <c r="H107" s="53"/>
      <c r="I107" s="53"/>
    </row>
    <row r="108" customFormat="false" ht="16.5" hidden="false" customHeight="true" outlineLevel="0" collapsed="false">
      <c r="A108" s="52" t="n">
        <v>18</v>
      </c>
      <c r="B108" s="53"/>
      <c r="C108" s="53"/>
      <c r="D108" s="53"/>
      <c r="E108" s="53"/>
      <c r="F108" s="54"/>
      <c r="G108" s="55"/>
      <c r="H108" s="53"/>
      <c r="I108" s="53"/>
    </row>
    <row r="109" customFormat="false" ht="16.5" hidden="false" customHeight="true" outlineLevel="0" collapsed="false">
      <c r="A109" s="52" t="n">
        <v>19</v>
      </c>
      <c r="B109" s="53"/>
      <c r="C109" s="53"/>
      <c r="D109" s="53"/>
      <c r="E109" s="53"/>
      <c r="F109" s="54"/>
      <c r="G109" s="55"/>
      <c r="H109" s="53"/>
      <c r="I109" s="53"/>
    </row>
    <row r="110" customFormat="false" ht="16.5" hidden="false" customHeight="true" outlineLevel="0" collapsed="false">
      <c r="A110" s="52" t="n">
        <v>20</v>
      </c>
      <c r="B110" s="53"/>
      <c r="C110" s="53"/>
      <c r="D110" s="53"/>
      <c r="E110" s="53"/>
      <c r="F110" s="54"/>
      <c r="G110" s="55"/>
      <c r="H110" s="53"/>
      <c r="I110" s="53"/>
    </row>
    <row r="111" customFormat="false" ht="16.5" hidden="false" customHeight="true" outlineLevel="0" collapsed="false">
      <c r="A111" s="52" t="n">
        <v>21</v>
      </c>
      <c r="B111" s="53"/>
      <c r="C111" s="53"/>
      <c r="D111" s="53"/>
      <c r="E111" s="53"/>
      <c r="F111" s="54"/>
      <c r="G111" s="55"/>
      <c r="H111" s="53"/>
      <c r="I111" s="53"/>
    </row>
    <row r="112" customFormat="false" ht="16.5" hidden="false" customHeight="true" outlineLevel="0" collapsed="false">
      <c r="A112" s="52" t="n">
        <v>22</v>
      </c>
      <c r="B112" s="53"/>
      <c r="C112" s="53"/>
      <c r="D112" s="53"/>
      <c r="E112" s="53"/>
      <c r="F112" s="54"/>
      <c r="G112" s="55"/>
      <c r="H112" s="53"/>
      <c r="I112" s="53"/>
    </row>
    <row r="113" customFormat="false" ht="16.5" hidden="false" customHeight="true" outlineLevel="0" collapsed="false">
      <c r="A113" s="52" t="n">
        <v>23</v>
      </c>
      <c r="B113" s="53"/>
      <c r="C113" s="53"/>
      <c r="D113" s="53"/>
      <c r="E113" s="53"/>
      <c r="F113" s="54"/>
      <c r="G113" s="55"/>
      <c r="H113" s="53"/>
      <c r="I113" s="53"/>
    </row>
    <row r="114" customFormat="false" ht="16.5" hidden="false" customHeight="true" outlineLevel="0" collapsed="false">
      <c r="A114" s="52" t="n">
        <v>24</v>
      </c>
      <c r="B114" s="53"/>
      <c r="C114" s="53"/>
      <c r="D114" s="53"/>
      <c r="E114" s="53"/>
      <c r="F114" s="54"/>
      <c r="G114" s="55"/>
      <c r="H114" s="53"/>
      <c r="I114" s="53"/>
    </row>
    <row r="115" customFormat="false" ht="16.5" hidden="false" customHeight="true" outlineLevel="0" collapsed="false">
      <c r="A115" s="52" t="n">
        <v>25</v>
      </c>
      <c r="B115" s="53"/>
      <c r="C115" s="53"/>
      <c r="D115" s="53"/>
      <c r="E115" s="53"/>
      <c r="F115" s="54"/>
      <c r="G115" s="55"/>
      <c r="H115" s="53"/>
      <c r="I115" s="53"/>
    </row>
    <row r="116" customFormat="false" ht="16.5" hidden="false" customHeight="true" outlineLevel="0" collapsed="false">
      <c r="A116" s="52" t="n">
        <v>26</v>
      </c>
      <c r="B116" s="53"/>
      <c r="C116" s="53"/>
      <c r="D116" s="53"/>
      <c r="E116" s="53"/>
      <c r="F116" s="54"/>
      <c r="G116" s="55"/>
      <c r="H116" s="53"/>
      <c r="I116" s="53"/>
    </row>
    <row r="117" customFormat="false" ht="16.5" hidden="false" customHeight="true" outlineLevel="0" collapsed="false">
      <c r="A117" s="52" t="n">
        <v>27</v>
      </c>
      <c r="B117" s="53"/>
      <c r="C117" s="53"/>
      <c r="D117" s="53"/>
      <c r="E117" s="53"/>
      <c r="F117" s="54"/>
      <c r="G117" s="55"/>
      <c r="H117" s="53"/>
      <c r="I117" s="53"/>
    </row>
    <row r="118" customFormat="false" ht="16.5" hidden="false" customHeight="true" outlineLevel="0" collapsed="false">
      <c r="A118" s="52" t="n">
        <v>28</v>
      </c>
      <c r="B118" s="53"/>
      <c r="C118" s="53"/>
      <c r="D118" s="53"/>
      <c r="E118" s="53"/>
      <c r="F118" s="54"/>
      <c r="G118" s="55"/>
      <c r="H118" s="53"/>
      <c r="I118" s="53"/>
    </row>
    <row r="119" customFormat="false" ht="16.5" hidden="false" customHeight="true" outlineLevel="0" collapsed="false">
      <c r="A119" s="52" t="n">
        <v>29</v>
      </c>
      <c r="B119" s="53"/>
      <c r="C119" s="53"/>
      <c r="D119" s="53"/>
      <c r="E119" s="53"/>
      <c r="F119" s="54"/>
      <c r="G119" s="55"/>
      <c r="H119" s="53"/>
      <c r="I119" s="53"/>
    </row>
    <row r="120" customFormat="false" ht="16.5" hidden="false" customHeight="true" outlineLevel="0" collapsed="false">
      <c r="A120" s="52" t="n">
        <v>30</v>
      </c>
      <c r="B120" s="53"/>
      <c r="C120" s="53"/>
      <c r="D120" s="53"/>
      <c r="E120" s="53"/>
      <c r="F120" s="54"/>
      <c r="G120" s="55"/>
      <c r="H120" s="53"/>
      <c r="I120" s="53"/>
    </row>
    <row r="121" customFormat="false" ht="16.5" hidden="false" customHeight="true" outlineLevel="0" collapsed="false">
      <c r="A121" s="52" t="n">
        <v>31</v>
      </c>
      <c r="B121" s="53"/>
      <c r="C121" s="53"/>
      <c r="D121" s="53"/>
      <c r="E121" s="53"/>
      <c r="F121" s="54"/>
      <c r="G121" s="55"/>
      <c r="H121" s="53"/>
      <c r="I121" s="53"/>
    </row>
    <row r="122" customFormat="false" ht="16.5" hidden="false" customHeight="true" outlineLevel="0" collapsed="false">
      <c r="A122" s="52" t="n">
        <v>32</v>
      </c>
      <c r="B122" s="53"/>
      <c r="C122" s="53"/>
      <c r="D122" s="53"/>
      <c r="E122" s="53"/>
      <c r="F122" s="54"/>
      <c r="G122" s="55"/>
      <c r="H122" s="53"/>
      <c r="I122" s="53"/>
    </row>
    <row r="123" customFormat="false" ht="16.5" hidden="false" customHeight="true" outlineLevel="0" collapsed="false">
      <c r="A123" s="52" t="n">
        <v>33</v>
      </c>
      <c r="B123" s="53"/>
      <c r="C123" s="53"/>
      <c r="D123" s="53"/>
      <c r="E123" s="53"/>
      <c r="F123" s="54"/>
      <c r="G123" s="55"/>
      <c r="H123" s="53"/>
      <c r="I123" s="53"/>
    </row>
    <row r="124" customFormat="false" ht="16.5" hidden="false" customHeight="true" outlineLevel="0" collapsed="false">
      <c r="A124" s="52" t="n">
        <v>34</v>
      </c>
      <c r="B124" s="53"/>
      <c r="C124" s="53"/>
      <c r="D124" s="53"/>
      <c r="E124" s="53"/>
      <c r="F124" s="54"/>
      <c r="G124" s="55"/>
      <c r="H124" s="53"/>
      <c r="I124" s="53"/>
    </row>
    <row r="125" customFormat="false" ht="16.5" hidden="false" customHeight="true" outlineLevel="0" collapsed="false">
      <c r="A125" s="52" t="n">
        <v>35</v>
      </c>
      <c r="B125" s="53"/>
      <c r="C125" s="53"/>
      <c r="D125" s="53"/>
      <c r="E125" s="53"/>
      <c r="F125" s="54"/>
      <c r="G125" s="55"/>
      <c r="H125" s="53"/>
      <c r="I125" s="53"/>
    </row>
    <row r="126" customFormat="false" ht="15" hidden="false" customHeight="true" outlineLevel="0" collapsed="false">
      <c r="A126" s="56" t="s">
        <v>260</v>
      </c>
      <c r="B126" s="56"/>
      <c r="C126" s="56"/>
      <c r="D126" s="56"/>
      <c r="E126" s="56"/>
      <c r="F126" s="57" t="n">
        <f aca="false">IFERROR(SUM(F91:F125),0)</f>
        <v>0</v>
      </c>
    </row>
    <row r="127" customFormat="false" ht="19.5" hidden="false" customHeight="true" outlineLevel="0" collapsed="false">
      <c r="A127" s="32" t="s">
        <v>261</v>
      </c>
      <c r="B127" s="32"/>
      <c r="C127" s="32"/>
      <c r="D127" s="32"/>
      <c r="E127" s="32"/>
      <c r="F127" s="58"/>
      <c r="G127" s="58"/>
      <c r="H127" s="58"/>
      <c r="I127" s="58"/>
      <c r="J127" s="58"/>
      <c r="K127" s="58"/>
      <c r="L127" s="58"/>
      <c r="M127" s="58"/>
      <c r="N127" s="58"/>
    </row>
    <row r="128" customFormat="false" ht="31.5" hidden="false" customHeight="true" outlineLevel="0" collapsed="false">
      <c r="A128" s="51" t="s">
        <v>106</v>
      </c>
      <c r="B128" s="51" t="s">
        <v>262</v>
      </c>
      <c r="C128" s="51" t="s">
        <v>263</v>
      </c>
      <c r="D128" s="51" t="s">
        <v>264</v>
      </c>
      <c r="E128" s="51" t="s">
        <v>265</v>
      </c>
      <c r="F128" s="51" t="s">
        <v>266</v>
      </c>
      <c r="G128" s="51" t="s">
        <v>267</v>
      </c>
      <c r="H128" s="51" t="s">
        <v>268</v>
      </c>
      <c r="I128" s="51" t="s">
        <v>269</v>
      </c>
      <c r="J128" s="51" t="s">
        <v>270</v>
      </c>
      <c r="K128" s="51" t="s">
        <v>271</v>
      </c>
      <c r="L128" s="51" t="s">
        <v>272</v>
      </c>
      <c r="M128" s="51" t="s">
        <v>61</v>
      </c>
      <c r="N128" s="51" t="s">
        <v>273</v>
      </c>
    </row>
    <row r="129" customFormat="false" ht="16.5" hidden="false" customHeight="true" outlineLevel="0" collapsed="false">
      <c r="A129" s="52" t="n">
        <v>1</v>
      </c>
      <c r="B129" s="53"/>
      <c r="C129" s="53"/>
      <c r="D129" s="53"/>
      <c r="E129" s="59"/>
      <c r="F129" s="59"/>
      <c r="G129" s="60"/>
      <c r="H129" s="57" t="n">
        <f aca="false">IFERROR(E129*G129,"")</f>
        <v>0</v>
      </c>
      <c r="I129" s="53"/>
      <c r="J129" s="55"/>
      <c r="K129" s="55"/>
      <c r="L129" s="55"/>
      <c r="M129" s="53"/>
      <c r="N129" s="53"/>
    </row>
    <row r="130" customFormat="false" ht="16.5" hidden="false" customHeight="true" outlineLevel="0" collapsed="false">
      <c r="A130" s="52" t="n">
        <v>2</v>
      </c>
      <c r="B130" s="53"/>
      <c r="C130" s="53"/>
      <c r="D130" s="53"/>
      <c r="E130" s="59"/>
      <c r="F130" s="59"/>
      <c r="G130" s="60"/>
      <c r="H130" s="57" t="n">
        <f aca="false">IFERROR(E130*G130,"")</f>
        <v>0</v>
      </c>
      <c r="I130" s="53"/>
      <c r="J130" s="55"/>
      <c r="K130" s="55"/>
      <c r="L130" s="55"/>
      <c r="M130" s="53"/>
      <c r="N130" s="53"/>
    </row>
    <row r="131" customFormat="false" ht="16.5" hidden="false" customHeight="true" outlineLevel="0" collapsed="false">
      <c r="A131" s="52" t="n">
        <v>3</v>
      </c>
      <c r="B131" s="53"/>
      <c r="C131" s="53"/>
      <c r="D131" s="53"/>
      <c r="E131" s="59"/>
      <c r="F131" s="59"/>
      <c r="G131" s="60"/>
      <c r="H131" s="57" t="n">
        <f aca="false">IFERROR(E131*G131,"")</f>
        <v>0</v>
      </c>
      <c r="I131" s="53"/>
      <c r="J131" s="55"/>
      <c r="K131" s="55"/>
      <c r="L131" s="55"/>
      <c r="M131" s="53"/>
      <c r="N131" s="53"/>
    </row>
    <row r="132" customFormat="false" ht="16.5" hidden="false" customHeight="true" outlineLevel="0" collapsed="false">
      <c r="A132" s="52" t="n">
        <v>4</v>
      </c>
      <c r="B132" s="53"/>
      <c r="C132" s="53"/>
      <c r="D132" s="53"/>
      <c r="E132" s="59"/>
      <c r="F132" s="59"/>
      <c r="G132" s="60"/>
      <c r="H132" s="57" t="n">
        <f aca="false">IFERROR(E132*G132,"")</f>
        <v>0</v>
      </c>
      <c r="I132" s="53"/>
      <c r="J132" s="55"/>
      <c r="K132" s="55"/>
      <c r="L132" s="55"/>
      <c r="M132" s="53"/>
      <c r="N132" s="53"/>
    </row>
    <row r="133" customFormat="false" ht="16.5" hidden="false" customHeight="true" outlineLevel="0" collapsed="false">
      <c r="A133" s="52" t="n">
        <v>5</v>
      </c>
      <c r="B133" s="53"/>
      <c r="C133" s="53"/>
      <c r="D133" s="53"/>
      <c r="E133" s="59"/>
      <c r="F133" s="59"/>
      <c r="G133" s="60"/>
      <c r="H133" s="57" t="n">
        <f aca="false">IFERROR(E133*G133,"")</f>
        <v>0</v>
      </c>
      <c r="I133" s="53"/>
      <c r="J133" s="55"/>
      <c r="K133" s="55"/>
      <c r="L133" s="55"/>
      <c r="M133" s="53"/>
      <c r="N133" s="53"/>
    </row>
    <row r="134" customFormat="false" ht="16.5" hidden="false" customHeight="true" outlineLevel="0" collapsed="false">
      <c r="A134" s="52" t="n">
        <v>6</v>
      </c>
      <c r="B134" s="53"/>
      <c r="C134" s="53"/>
      <c r="D134" s="53"/>
      <c r="E134" s="59"/>
      <c r="F134" s="59"/>
      <c r="G134" s="60"/>
      <c r="H134" s="57" t="n">
        <f aca="false">IFERROR(E134*G134,"")</f>
        <v>0</v>
      </c>
      <c r="I134" s="53"/>
      <c r="J134" s="55"/>
      <c r="K134" s="55"/>
      <c r="L134" s="55"/>
      <c r="M134" s="53"/>
      <c r="N134" s="53"/>
    </row>
    <row r="135" customFormat="false" ht="16.5" hidden="false" customHeight="true" outlineLevel="0" collapsed="false">
      <c r="A135" s="52" t="n">
        <v>7</v>
      </c>
      <c r="B135" s="53"/>
      <c r="C135" s="53"/>
      <c r="D135" s="53"/>
      <c r="E135" s="59"/>
      <c r="F135" s="59"/>
      <c r="G135" s="60"/>
      <c r="H135" s="57" t="n">
        <f aca="false">IFERROR(E135*G135,"")</f>
        <v>0</v>
      </c>
      <c r="I135" s="53"/>
      <c r="J135" s="55"/>
      <c r="K135" s="55"/>
      <c r="L135" s="55"/>
      <c r="M135" s="53"/>
      <c r="N135" s="53"/>
    </row>
    <row r="136" customFormat="false" ht="16.5" hidden="false" customHeight="true" outlineLevel="0" collapsed="false">
      <c r="A136" s="52" t="n">
        <v>8</v>
      </c>
      <c r="B136" s="53"/>
      <c r="C136" s="53"/>
      <c r="D136" s="53"/>
      <c r="E136" s="59"/>
      <c r="F136" s="59"/>
      <c r="G136" s="60"/>
      <c r="H136" s="57" t="n">
        <f aca="false">IFERROR(E136*G136,"")</f>
        <v>0</v>
      </c>
      <c r="I136" s="53"/>
      <c r="J136" s="55"/>
      <c r="K136" s="55"/>
      <c r="L136" s="55"/>
      <c r="M136" s="53"/>
      <c r="N136" s="53"/>
    </row>
    <row r="137" customFormat="false" ht="16.5" hidden="false" customHeight="true" outlineLevel="0" collapsed="false">
      <c r="A137" s="52" t="n">
        <v>9</v>
      </c>
      <c r="B137" s="53"/>
      <c r="C137" s="53"/>
      <c r="D137" s="53"/>
      <c r="E137" s="59"/>
      <c r="F137" s="59"/>
      <c r="G137" s="60"/>
      <c r="H137" s="57" t="n">
        <f aca="false">IFERROR(E137*G137,"")</f>
        <v>0</v>
      </c>
      <c r="I137" s="53"/>
      <c r="J137" s="55"/>
      <c r="K137" s="55"/>
      <c r="L137" s="55"/>
      <c r="M137" s="53"/>
      <c r="N137" s="53"/>
    </row>
    <row r="138" customFormat="false" ht="16.5" hidden="false" customHeight="true" outlineLevel="0" collapsed="false">
      <c r="A138" s="52" t="n">
        <v>10</v>
      </c>
      <c r="B138" s="53"/>
      <c r="C138" s="53"/>
      <c r="D138" s="53"/>
      <c r="E138" s="59"/>
      <c r="F138" s="59"/>
      <c r="G138" s="60"/>
      <c r="H138" s="57" t="n">
        <f aca="false">IFERROR(E138*G138,"")</f>
        <v>0</v>
      </c>
      <c r="I138" s="53"/>
      <c r="J138" s="55"/>
      <c r="K138" s="55"/>
      <c r="L138" s="55"/>
      <c r="M138" s="53"/>
      <c r="N138" s="53"/>
    </row>
    <row r="139" customFormat="false" ht="16.5" hidden="false" customHeight="true" outlineLevel="0" collapsed="false">
      <c r="A139" s="52" t="n">
        <v>11</v>
      </c>
      <c r="B139" s="53"/>
      <c r="C139" s="53"/>
      <c r="D139" s="53"/>
      <c r="E139" s="59"/>
      <c r="F139" s="59"/>
      <c r="G139" s="60"/>
      <c r="H139" s="57" t="n">
        <f aca="false">IFERROR(E139*G139,"")</f>
        <v>0</v>
      </c>
      <c r="I139" s="53"/>
      <c r="J139" s="55"/>
      <c r="K139" s="55"/>
      <c r="L139" s="55"/>
      <c r="M139" s="53"/>
      <c r="N139" s="53"/>
    </row>
    <row r="140" customFormat="false" ht="16.5" hidden="false" customHeight="true" outlineLevel="0" collapsed="false">
      <c r="A140" s="52" t="n">
        <v>12</v>
      </c>
      <c r="B140" s="53"/>
      <c r="C140" s="53"/>
      <c r="D140" s="53"/>
      <c r="E140" s="59"/>
      <c r="F140" s="59"/>
      <c r="G140" s="60"/>
      <c r="H140" s="57" t="n">
        <f aca="false">IFERROR(E140*G140,"")</f>
        <v>0</v>
      </c>
      <c r="I140" s="53"/>
      <c r="J140" s="55"/>
      <c r="K140" s="55"/>
      <c r="L140" s="55"/>
      <c r="M140" s="53"/>
      <c r="N140" s="53"/>
    </row>
    <row r="141" customFormat="false" ht="16.5" hidden="false" customHeight="true" outlineLevel="0" collapsed="false">
      <c r="A141" s="52" t="n">
        <v>13</v>
      </c>
      <c r="B141" s="53"/>
      <c r="C141" s="53"/>
      <c r="D141" s="53"/>
      <c r="E141" s="59"/>
      <c r="F141" s="59"/>
      <c r="G141" s="60"/>
      <c r="H141" s="57" t="n">
        <f aca="false">IFERROR(E141*G141,"")</f>
        <v>0</v>
      </c>
      <c r="I141" s="53"/>
      <c r="J141" s="55"/>
      <c r="K141" s="55"/>
      <c r="L141" s="55"/>
      <c r="M141" s="53"/>
      <c r="N141" s="53"/>
    </row>
    <row r="142" customFormat="false" ht="16.5" hidden="false" customHeight="true" outlineLevel="0" collapsed="false">
      <c r="A142" s="52" t="n">
        <v>14</v>
      </c>
      <c r="B142" s="53"/>
      <c r="C142" s="53"/>
      <c r="D142" s="53"/>
      <c r="E142" s="59"/>
      <c r="F142" s="59"/>
      <c r="G142" s="60"/>
      <c r="H142" s="57" t="n">
        <f aca="false">IFERROR(E142*G142,"")</f>
        <v>0</v>
      </c>
      <c r="I142" s="53"/>
      <c r="J142" s="55"/>
      <c r="K142" s="55"/>
      <c r="L142" s="55"/>
      <c r="M142" s="53"/>
      <c r="N142" s="53"/>
    </row>
    <row r="143" customFormat="false" ht="16.5" hidden="false" customHeight="true" outlineLevel="0" collapsed="false">
      <c r="A143" s="52" t="n">
        <v>15</v>
      </c>
      <c r="B143" s="53"/>
      <c r="C143" s="53"/>
      <c r="D143" s="53"/>
      <c r="E143" s="59"/>
      <c r="F143" s="59"/>
      <c r="G143" s="60"/>
      <c r="H143" s="57" t="n">
        <f aca="false">IFERROR(E143*G143,"")</f>
        <v>0</v>
      </c>
      <c r="I143" s="53"/>
      <c r="J143" s="55"/>
      <c r="K143" s="55"/>
      <c r="L143" s="55"/>
      <c r="M143" s="53"/>
      <c r="N143" s="53"/>
    </row>
    <row r="144" customFormat="false" ht="16.5" hidden="false" customHeight="true" outlineLevel="0" collapsed="false">
      <c r="A144" s="52" t="n">
        <v>16</v>
      </c>
      <c r="B144" s="53"/>
      <c r="C144" s="53"/>
      <c r="D144" s="53"/>
      <c r="E144" s="59"/>
      <c r="F144" s="59"/>
      <c r="G144" s="60"/>
      <c r="H144" s="57" t="n">
        <f aca="false">IFERROR(E144*G144,"")</f>
        <v>0</v>
      </c>
      <c r="I144" s="53"/>
      <c r="J144" s="55"/>
      <c r="K144" s="55"/>
      <c r="L144" s="55"/>
      <c r="M144" s="53"/>
      <c r="N144" s="53"/>
    </row>
    <row r="145" customFormat="false" ht="16.5" hidden="false" customHeight="true" outlineLevel="0" collapsed="false">
      <c r="A145" s="52" t="n">
        <v>17</v>
      </c>
      <c r="B145" s="53"/>
      <c r="C145" s="53"/>
      <c r="D145" s="53"/>
      <c r="E145" s="59"/>
      <c r="F145" s="59"/>
      <c r="G145" s="60"/>
      <c r="H145" s="57" t="n">
        <f aca="false">IFERROR(E145*G145,"")</f>
        <v>0</v>
      </c>
      <c r="I145" s="53"/>
      <c r="J145" s="55"/>
      <c r="K145" s="55"/>
      <c r="L145" s="55"/>
      <c r="M145" s="53"/>
      <c r="N145" s="53"/>
    </row>
    <row r="146" customFormat="false" ht="16.5" hidden="false" customHeight="true" outlineLevel="0" collapsed="false">
      <c r="A146" s="52" t="n">
        <v>18</v>
      </c>
      <c r="B146" s="53"/>
      <c r="C146" s="53"/>
      <c r="D146" s="53"/>
      <c r="E146" s="59"/>
      <c r="F146" s="59"/>
      <c r="G146" s="60"/>
      <c r="H146" s="57" t="n">
        <f aca="false">IFERROR(E146*G146,"")</f>
        <v>0</v>
      </c>
      <c r="I146" s="53"/>
      <c r="J146" s="55"/>
      <c r="K146" s="55"/>
      <c r="L146" s="55"/>
      <c r="M146" s="53"/>
      <c r="N146" s="53"/>
    </row>
    <row r="147" customFormat="false" ht="16.5" hidden="false" customHeight="true" outlineLevel="0" collapsed="false">
      <c r="A147" s="52" t="n">
        <v>19</v>
      </c>
      <c r="B147" s="53"/>
      <c r="C147" s="53"/>
      <c r="D147" s="53"/>
      <c r="E147" s="59"/>
      <c r="F147" s="59"/>
      <c r="G147" s="60"/>
      <c r="H147" s="57" t="n">
        <f aca="false">IFERROR(E147*G147,"")</f>
        <v>0</v>
      </c>
      <c r="I147" s="53"/>
      <c r="J147" s="55"/>
      <c r="K147" s="55"/>
      <c r="L147" s="55"/>
      <c r="M147" s="53"/>
      <c r="N147" s="53"/>
    </row>
    <row r="148" customFormat="false" ht="16.5" hidden="false" customHeight="true" outlineLevel="0" collapsed="false">
      <c r="A148" s="52" t="n">
        <v>20</v>
      </c>
      <c r="B148" s="53"/>
      <c r="C148" s="53"/>
      <c r="D148" s="53"/>
      <c r="E148" s="59"/>
      <c r="F148" s="59"/>
      <c r="G148" s="60"/>
      <c r="H148" s="57" t="n">
        <f aca="false">IFERROR(E148*G148,"")</f>
        <v>0</v>
      </c>
      <c r="I148" s="53"/>
      <c r="J148" s="55"/>
      <c r="K148" s="55"/>
      <c r="L148" s="55"/>
      <c r="M148" s="53"/>
      <c r="N148" s="53"/>
    </row>
    <row r="149" customFormat="false" ht="16.5" hidden="false" customHeight="true" outlineLevel="0" collapsed="false">
      <c r="A149" s="52" t="n">
        <v>21</v>
      </c>
      <c r="B149" s="53"/>
      <c r="C149" s="53"/>
      <c r="D149" s="53"/>
      <c r="E149" s="59"/>
      <c r="F149" s="59"/>
      <c r="G149" s="60"/>
      <c r="H149" s="57" t="n">
        <f aca="false">IFERROR(E149*G149,"")</f>
        <v>0</v>
      </c>
      <c r="I149" s="53"/>
      <c r="J149" s="55"/>
      <c r="K149" s="55"/>
      <c r="L149" s="55"/>
      <c r="M149" s="53"/>
      <c r="N149" s="53"/>
    </row>
    <row r="150" customFormat="false" ht="16.5" hidden="false" customHeight="true" outlineLevel="0" collapsed="false">
      <c r="A150" s="52" t="n">
        <v>22</v>
      </c>
      <c r="B150" s="53"/>
      <c r="C150" s="53"/>
      <c r="D150" s="53"/>
      <c r="E150" s="59"/>
      <c r="F150" s="59"/>
      <c r="G150" s="60"/>
      <c r="H150" s="57" t="n">
        <f aca="false">IFERROR(E150*G150,"")</f>
        <v>0</v>
      </c>
      <c r="I150" s="53"/>
      <c r="J150" s="55"/>
      <c r="K150" s="55"/>
      <c r="L150" s="55"/>
      <c r="M150" s="53"/>
      <c r="N150" s="53"/>
    </row>
    <row r="151" customFormat="false" ht="16.5" hidden="false" customHeight="true" outlineLevel="0" collapsed="false">
      <c r="A151" s="52" t="n">
        <v>23</v>
      </c>
      <c r="B151" s="53"/>
      <c r="C151" s="53"/>
      <c r="D151" s="53"/>
      <c r="E151" s="59"/>
      <c r="F151" s="59"/>
      <c r="G151" s="60"/>
      <c r="H151" s="57" t="n">
        <f aca="false">IFERROR(E151*G151,"")</f>
        <v>0</v>
      </c>
      <c r="I151" s="53"/>
      <c r="J151" s="55"/>
      <c r="K151" s="55"/>
      <c r="L151" s="55"/>
      <c r="M151" s="53"/>
      <c r="N151" s="53"/>
    </row>
    <row r="152" customFormat="false" ht="16.5" hidden="false" customHeight="true" outlineLevel="0" collapsed="false">
      <c r="A152" s="52" t="n">
        <v>24</v>
      </c>
      <c r="B152" s="53"/>
      <c r="C152" s="53"/>
      <c r="D152" s="53"/>
      <c r="E152" s="59"/>
      <c r="F152" s="59"/>
      <c r="G152" s="60"/>
      <c r="H152" s="57" t="n">
        <f aca="false">IFERROR(E152*G152,"")</f>
        <v>0</v>
      </c>
      <c r="I152" s="53"/>
      <c r="J152" s="55"/>
      <c r="K152" s="55"/>
      <c r="L152" s="55"/>
      <c r="M152" s="53"/>
      <c r="N152" s="53"/>
    </row>
    <row r="153" customFormat="false" ht="16.5" hidden="false" customHeight="true" outlineLevel="0" collapsed="false">
      <c r="A153" s="52" t="n">
        <v>25</v>
      </c>
      <c r="B153" s="53"/>
      <c r="C153" s="53"/>
      <c r="D153" s="53"/>
      <c r="E153" s="59"/>
      <c r="F153" s="59"/>
      <c r="G153" s="60"/>
      <c r="H153" s="57" t="n">
        <f aca="false">IFERROR(E153*G153,"")</f>
        <v>0</v>
      </c>
      <c r="I153" s="53"/>
      <c r="J153" s="55"/>
      <c r="K153" s="55"/>
      <c r="L153" s="55"/>
      <c r="M153" s="53"/>
      <c r="N153" s="53"/>
    </row>
    <row r="154" customFormat="false" ht="16.5" hidden="false" customHeight="true" outlineLevel="0" collapsed="false">
      <c r="A154" s="52" t="n">
        <v>26</v>
      </c>
      <c r="B154" s="53"/>
      <c r="C154" s="53"/>
      <c r="D154" s="53"/>
      <c r="E154" s="59"/>
      <c r="F154" s="59"/>
      <c r="G154" s="60"/>
      <c r="H154" s="57" t="n">
        <f aca="false">IFERROR(E154*G154,"")</f>
        <v>0</v>
      </c>
      <c r="I154" s="53"/>
      <c r="J154" s="55"/>
      <c r="K154" s="55"/>
      <c r="L154" s="55"/>
      <c r="M154" s="53"/>
      <c r="N154" s="53"/>
    </row>
    <row r="155" customFormat="false" ht="16.5" hidden="false" customHeight="true" outlineLevel="0" collapsed="false">
      <c r="A155" s="52" t="n">
        <v>27</v>
      </c>
      <c r="B155" s="53"/>
      <c r="C155" s="53"/>
      <c r="D155" s="53"/>
      <c r="E155" s="59"/>
      <c r="F155" s="59"/>
      <c r="G155" s="60"/>
      <c r="H155" s="57" t="n">
        <f aca="false">IFERROR(E155*G155,"")</f>
        <v>0</v>
      </c>
      <c r="I155" s="53"/>
      <c r="J155" s="55"/>
      <c r="K155" s="55"/>
      <c r="L155" s="55"/>
      <c r="M155" s="53"/>
      <c r="N155" s="53"/>
    </row>
    <row r="156" customFormat="false" ht="16.5" hidden="false" customHeight="true" outlineLevel="0" collapsed="false">
      <c r="A156" s="52" t="n">
        <v>28</v>
      </c>
      <c r="B156" s="53"/>
      <c r="C156" s="53"/>
      <c r="D156" s="53"/>
      <c r="E156" s="59"/>
      <c r="F156" s="59"/>
      <c r="G156" s="60"/>
      <c r="H156" s="57" t="n">
        <f aca="false">IFERROR(E156*G156,"")</f>
        <v>0</v>
      </c>
      <c r="I156" s="53"/>
      <c r="J156" s="55"/>
      <c r="K156" s="55"/>
      <c r="L156" s="55"/>
      <c r="M156" s="53"/>
      <c r="N156" s="53"/>
    </row>
    <row r="157" customFormat="false" ht="16.5" hidden="false" customHeight="true" outlineLevel="0" collapsed="false">
      <c r="A157" s="52" t="n">
        <v>29</v>
      </c>
      <c r="B157" s="53"/>
      <c r="C157" s="53"/>
      <c r="D157" s="53"/>
      <c r="E157" s="59"/>
      <c r="F157" s="59"/>
      <c r="G157" s="60"/>
      <c r="H157" s="57" t="n">
        <f aca="false">IFERROR(E157*G157,"")</f>
        <v>0</v>
      </c>
      <c r="I157" s="53"/>
      <c r="J157" s="55"/>
      <c r="K157" s="55"/>
      <c r="L157" s="55"/>
      <c r="M157" s="53"/>
      <c r="N157" s="53"/>
    </row>
    <row r="158" customFormat="false" ht="16.5" hidden="false" customHeight="true" outlineLevel="0" collapsed="false">
      <c r="A158" s="52" t="n">
        <v>30</v>
      </c>
      <c r="B158" s="53"/>
      <c r="C158" s="53"/>
      <c r="D158" s="53"/>
      <c r="E158" s="59"/>
      <c r="F158" s="59"/>
      <c r="G158" s="60"/>
      <c r="H158" s="57" t="n">
        <f aca="false">IFERROR(E158*G158,"")</f>
        <v>0</v>
      </c>
      <c r="I158" s="53"/>
      <c r="J158" s="55"/>
      <c r="K158" s="55"/>
      <c r="L158" s="55"/>
      <c r="M158" s="53"/>
      <c r="N158" s="53"/>
    </row>
    <row r="159" customFormat="false" ht="16.5" hidden="false" customHeight="true" outlineLevel="0" collapsed="false">
      <c r="A159" s="52" t="n">
        <v>31</v>
      </c>
      <c r="B159" s="53"/>
      <c r="C159" s="53"/>
      <c r="D159" s="53"/>
      <c r="E159" s="59"/>
      <c r="F159" s="59"/>
      <c r="G159" s="60"/>
      <c r="H159" s="57" t="n">
        <f aca="false">IFERROR(E159*G159,"")</f>
        <v>0</v>
      </c>
      <c r="I159" s="53"/>
      <c r="J159" s="55"/>
      <c r="K159" s="55"/>
      <c r="L159" s="55"/>
      <c r="M159" s="53"/>
      <c r="N159" s="53"/>
    </row>
    <row r="160" customFormat="false" ht="16.5" hidden="false" customHeight="true" outlineLevel="0" collapsed="false">
      <c r="A160" s="52" t="n">
        <v>32</v>
      </c>
      <c r="B160" s="53"/>
      <c r="C160" s="53"/>
      <c r="D160" s="53"/>
      <c r="E160" s="59"/>
      <c r="F160" s="59"/>
      <c r="G160" s="60"/>
      <c r="H160" s="57" t="n">
        <f aca="false">IFERROR(E160*G160,"")</f>
        <v>0</v>
      </c>
      <c r="I160" s="53"/>
      <c r="J160" s="55"/>
      <c r="K160" s="55"/>
      <c r="L160" s="55"/>
      <c r="M160" s="53"/>
      <c r="N160" s="53"/>
    </row>
    <row r="161" customFormat="false" ht="16.5" hidden="false" customHeight="true" outlineLevel="0" collapsed="false">
      <c r="A161" s="52" t="n">
        <v>33</v>
      </c>
      <c r="B161" s="53"/>
      <c r="C161" s="53"/>
      <c r="D161" s="53"/>
      <c r="E161" s="59"/>
      <c r="F161" s="59"/>
      <c r="G161" s="60"/>
      <c r="H161" s="57" t="n">
        <f aca="false">IFERROR(E161*G161,"")</f>
        <v>0</v>
      </c>
      <c r="I161" s="53"/>
      <c r="J161" s="55"/>
      <c r="K161" s="55"/>
      <c r="L161" s="55"/>
      <c r="M161" s="53"/>
      <c r="N161" s="53"/>
    </row>
    <row r="162" customFormat="false" ht="16.5" hidden="false" customHeight="true" outlineLevel="0" collapsed="false">
      <c r="A162" s="52" t="n">
        <v>34</v>
      </c>
      <c r="B162" s="53"/>
      <c r="C162" s="53"/>
      <c r="D162" s="53"/>
      <c r="E162" s="59"/>
      <c r="F162" s="59"/>
      <c r="G162" s="60"/>
      <c r="H162" s="57" t="n">
        <f aca="false">IFERROR(E162*G162,"")</f>
        <v>0</v>
      </c>
      <c r="I162" s="53"/>
      <c r="J162" s="55"/>
      <c r="K162" s="55"/>
      <c r="L162" s="55"/>
      <c r="M162" s="53"/>
      <c r="N162" s="53"/>
    </row>
    <row r="163" customFormat="false" ht="16.5" hidden="false" customHeight="true" outlineLevel="0" collapsed="false">
      <c r="A163" s="52" t="n">
        <v>35</v>
      </c>
      <c r="B163" s="53"/>
      <c r="C163" s="53"/>
      <c r="D163" s="53"/>
      <c r="E163" s="59"/>
      <c r="F163" s="59"/>
      <c r="G163" s="60"/>
      <c r="H163" s="57" t="n">
        <f aca="false">IFERROR(E163*G163,"")</f>
        <v>0</v>
      </c>
      <c r="I163" s="53"/>
      <c r="J163" s="55"/>
      <c r="K163" s="55"/>
      <c r="L163" s="55"/>
      <c r="M163" s="53"/>
      <c r="N163" s="53"/>
    </row>
    <row r="164" customFormat="false" ht="16.5" hidden="false" customHeight="true" outlineLevel="0" collapsed="false">
      <c r="A164" s="52" t="n">
        <v>36</v>
      </c>
      <c r="B164" s="53"/>
      <c r="C164" s="53"/>
      <c r="D164" s="53"/>
      <c r="E164" s="59"/>
      <c r="F164" s="59"/>
      <c r="G164" s="60"/>
      <c r="H164" s="57" t="n">
        <f aca="false">IFERROR(E164*G164,"")</f>
        <v>0</v>
      </c>
      <c r="I164" s="53"/>
      <c r="J164" s="55"/>
      <c r="K164" s="55"/>
      <c r="L164" s="55"/>
      <c r="M164" s="53"/>
      <c r="N164" s="53"/>
    </row>
    <row r="165" customFormat="false" ht="16.5" hidden="false" customHeight="true" outlineLevel="0" collapsed="false">
      <c r="A165" s="52" t="n">
        <v>37</v>
      </c>
      <c r="B165" s="53"/>
      <c r="C165" s="53"/>
      <c r="D165" s="53"/>
      <c r="E165" s="59"/>
      <c r="F165" s="59"/>
      <c r="G165" s="60"/>
      <c r="H165" s="57" t="n">
        <f aca="false">IFERROR(E165*G165,"")</f>
        <v>0</v>
      </c>
      <c r="I165" s="53"/>
      <c r="J165" s="55"/>
      <c r="K165" s="55"/>
      <c r="L165" s="55"/>
      <c r="M165" s="53"/>
      <c r="N165" s="53"/>
    </row>
    <row r="166" customFormat="false" ht="16.5" hidden="false" customHeight="true" outlineLevel="0" collapsed="false">
      <c r="A166" s="52" t="n">
        <v>38</v>
      </c>
      <c r="B166" s="53"/>
      <c r="C166" s="53"/>
      <c r="D166" s="53"/>
      <c r="E166" s="59"/>
      <c r="F166" s="59"/>
      <c r="G166" s="60"/>
      <c r="H166" s="57" t="n">
        <f aca="false">IFERROR(E166*G166,"")</f>
        <v>0</v>
      </c>
      <c r="I166" s="53"/>
      <c r="J166" s="55"/>
      <c r="K166" s="55"/>
      <c r="L166" s="55"/>
      <c r="M166" s="53"/>
      <c r="N166" s="53"/>
    </row>
    <row r="167" customFormat="false" ht="16.5" hidden="false" customHeight="true" outlineLevel="0" collapsed="false">
      <c r="A167" s="52" t="n">
        <v>39</v>
      </c>
      <c r="B167" s="53"/>
      <c r="C167" s="53"/>
      <c r="D167" s="53"/>
      <c r="E167" s="59"/>
      <c r="F167" s="59"/>
      <c r="G167" s="60"/>
      <c r="H167" s="57" t="n">
        <f aca="false">IFERROR(E167*G167,"")</f>
        <v>0</v>
      </c>
      <c r="I167" s="53"/>
      <c r="J167" s="55"/>
      <c r="K167" s="55"/>
      <c r="L167" s="55"/>
      <c r="M167" s="53"/>
      <c r="N167" s="53"/>
    </row>
    <row r="168" customFormat="false" ht="16.5" hidden="false" customHeight="true" outlineLevel="0" collapsed="false">
      <c r="A168" s="52" t="n">
        <v>40</v>
      </c>
      <c r="B168" s="53"/>
      <c r="C168" s="53"/>
      <c r="D168" s="53"/>
      <c r="E168" s="59"/>
      <c r="F168" s="59"/>
      <c r="G168" s="60"/>
      <c r="H168" s="57" t="n">
        <f aca="false">IFERROR(E168*G168,"")</f>
        <v>0</v>
      </c>
      <c r="I168" s="53"/>
      <c r="J168" s="55"/>
      <c r="K168" s="55"/>
      <c r="L168" s="55"/>
      <c r="M168" s="53"/>
      <c r="N168" s="53"/>
    </row>
    <row r="169" customFormat="false" ht="16.5" hidden="false" customHeight="true" outlineLevel="0" collapsed="false">
      <c r="A169" s="52" t="n">
        <v>41</v>
      </c>
      <c r="B169" s="53"/>
      <c r="C169" s="53"/>
      <c r="D169" s="53"/>
      <c r="E169" s="59"/>
      <c r="F169" s="59"/>
      <c r="G169" s="60"/>
      <c r="H169" s="57" t="n">
        <f aca="false">IFERROR(E169*G169,"")</f>
        <v>0</v>
      </c>
      <c r="I169" s="53"/>
      <c r="J169" s="55"/>
      <c r="K169" s="55"/>
      <c r="L169" s="55"/>
      <c r="M169" s="53"/>
      <c r="N169" s="53"/>
    </row>
    <row r="170" customFormat="false" ht="16.5" hidden="false" customHeight="true" outlineLevel="0" collapsed="false">
      <c r="A170" s="52" t="n">
        <v>42</v>
      </c>
      <c r="B170" s="53"/>
      <c r="C170" s="53"/>
      <c r="D170" s="53"/>
      <c r="E170" s="59"/>
      <c r="F170" s="59"/>
      <c r="G170" s="60"/>
      <c r="H170" s="57" t="n">
        <f aca="false">IFERROR(E170*G170,"")</f>
        <v>0</v>
      </c>
      <c r="I170" s="53"/>
      <c r="J170" s="55"/>
      <c r="K170" s="55"/>
      <c r="L170" s="55"/>
      <c r="M170" s="53"/>
      <c r="N170" s="53"/>
    </row>
    <row r="171" customFormat="false" ht="16.5" hidden="false" customHeight="true" outlineLevel="0" collapsed="false">
      <c r="A171" s="52" t="n">
        <v>43</v>
      </c>
      <c r="B171" s="53"/>
      <c r="C171" s="53"/>
      <c r="D171" s="53"/>
      <c r="E171" s="59"/>
      <c r="F171" s="59"/>
      <c r="G171" s="60"/>
      <c r="H171" s="57" t="n">
        <f aca="false">IFERROR(E171*G171,"")</f>
        <v>0</v>
      </c>
      <c r="I171" s="53"/>
      <c r="J171" s="55"/>
      <c r="K171" s="55"/>
      <c r="L171" s="55"/>
      <c r="M171" s="53"/>
      <c r="N171" s="53"/>
    </row>
    <row r="172" customFormat="false" ht="16.5" hidden="false" customHeight="true" outlineLevel="0" collapsed="false">
      <c r="A172" s="52" t="n">
        <v>44</v>
      </c>
      <c r="B172" s="53"/>
      <c r="C172" s="53"/>
      <c r="D172" s="53"/>
      <c r="E172" s="59"/>
      <c r="F172" s="59"/>
      <c r="G172" s="60"/>
      <c r="H172" s="57" t="n">
        <f aca="false">IFERROR(E172*G172,"")</f>
        <v>0</v>
      </c>
      <c r="I172" s="53"/>
      <c r="J172" s="55"/>
      <c r="K172" s="55"/>
      <c r="L172" s="55"/>
      <c r="M172" s="53"/>
      <c r="N172" s="53"/>
    </row>
    <row r="173" customFormat="false" ht="16.5" hidden="false" customHeight="true" outlineLevel="0" collapsed="false">
      <c r="A173" s="52" t="n">
        <v>45</v>
      </c>
      <c r="B173" s="53"/>
      <c r="C173" s="53"/>
      <c r="D173" s="53"/>
      <c r="E173" s="59"/>
      <c r="F173" s="59"/>
      <c r="G173" s="60"/>
      <c r="H173" s="57" t="n">
        <f aca="false">IFERROR(E173*G173,"")</f>
        <v>0</v>
      </c>
      <c r="I173" s="53"/>
      <c r="J173" s="55"/>
      <c r="K173" s="55"/>
      <c r="L173" s="55"/>
      <c r="M173" s="53"/>
      <c r="N173" s="53"/>
    </row>
    <row r="174" customFormat="false" ht="16.5" hidden="false" customHeight="true" outlineLevel="0" collapsed="false">
      <c r="A174" s="52" t="n">
        <v>46</v>
      </c>
      <c r="B174" s="53"/>
      <c r="C174" s="53"/>
      <c r="D174" s="53"/>
      <c r="E174" s="59"/>
      <c r="F174" s="59"/>
      <c r="G174" s="60"/>
      <c r="H174" s="57" t="n">
        <f aca="false">IFERROR(E174*G174,"")</f>
        <v>0</v>
      </c>
      <c r="I174" s="53"/>
      <c r="J174" s="55"/>
      <c r="K174" s="55"/>
      <c r="L174" s="55"/>
      <c r="M174" s="53"/>
      <c r="N174" s="53"/>
    </row>
    <row r="175" customFormat="false" ht="16.5" hidden="false" customHeight="true" outlineLevel="0" collapsed="false">
      <c r="A175" s="52" t="n">
        <v>47</v>
      </c>
      <c r="B175" s="53"/>
      <c r="C175" s="53"/>
      <c r="D175" s="53"/>
      <c r="E175" s="59"/>
      <c r="F175" s="59"/>
      <c r="G175" s="60"/>
      <c r="H175" s="57" t="n">
        <f aca="false">IFERROR(E175*G175,"")</f>
        <v>0</v>
      </c>
      <c r="I175" s="53"/>
      <c r="J175" s="55"/>
      <c r="K175" s="55"/>
      <c r="L175" s="55"/>
      <c r="M175" s="53"/>
      <c r="N175" s="53"/>
    </row>
    <row r="176" customFormat="false" ht="16.5" hidden="false" customHeight="true" outlineLevel="0" collapsed="false">
      <c r="A176" s="52" t="n">
        <v>48</v>
      </c>
      <c r="B176" s="53"/>
      <c r="C176" s="53"/>
      <c r="D176" s="53"/>
      <c r="E176" s="59"/>
      <c r="F176" s="59"/>
      <c r="G176" s="60"/>
      <c r="H176" s="57" t="n">
        <f aca="false">IFERROR(E176*G176,"")</f>
        <v>0</v>
      </c>
      <c r="I176" s="53"/>
      <c r="J176" s="55"/>
      <c r="K176" s="55"/>
      <c r="L176" s="55"/>
      <c r="M176" s="53"/>
      <c r="N176" s="53"/>
    </row>
    <row r="177" customFormat="false" ht="16.5" hidden="false" customHeight="true" outlineLevel="0" collapsed="false">
      <c r="A177" s="52" t="n">
        <v>49</v>
      </c>
      <c r="B177" s="53"/>
      <c r="C177" s="53"/>
      <c r="D177" s="53"/>
      <c r="E177" s="59"/>
      <c r="F177" s="59"/>
      <c r="G177" s="60"/>
      <c r="H177" s="57" t="n">
        <f aca="false">IFERROR(E177*G177,"")</f>
        <v>0</v>
      </c>
      <c r="I177" s="53"/>
      <c r="J177" s="55"/>
      <c r="K177" s="55"/>
      <c r="L177" s="55"/>
      <c r="M177" s="53"/>
      <c r="N177" s="53"/>
    </row>
    <row r="178" customFormat="false" ht="16.5" hidden="false" customHeight="true" outlineLevel="0" collapsed="false">
      <c r="A178" s="52" t="n">
        <v>50</v>
      </c>
      <c r="B178" s="53"/>
      <c r="C178" s="53"/>
      <c r="D178" s="53"/>
      <c r="E178" s="59"/>
      <c r="F178" s="59"/>
      <c r="G178" s="60"/>
      <c r="H178" s="57" t="n">
        <f aca="false">IFERROR(E178*G178,"")</f>
        <v>0</v>
      </c>
      <c r="I178" s="53"/>
      <c r="J178" s="55"/>
      <c r="K178" s="55"/>
      <c r="L178" s="55"/>
      <c r="M178" s="53"/>
      <c r="N178" s="53"/>
    </row>
    <row r="179" customFormat="false" ht="15" hidden="false" customHeight="true" outlineLevel="0" collapsed="false">
      <c r="A179" s="56" t="s">
        <v>260</v>
      </c>
      <c r="B179" s="56"/>
      <c r="C179" s="56"/>
      <c r="D179" s="56"/>
      <c r="E179" s="61" t="n">
        <f aca="false">IFERROR(SUM(E129:E178),0)</f>
        <v>0</v>
      </c>
      <c r="F179" s="61" t="n">
        <f aca="false">IFERROR(SUM(F129:F178),0)</f>
        <v>0</v>
      </c>
      <c r="G179" s="62" t="s">
        <v>298</v>
      </c>
      <c r="H179" s="57" t="n">
        <f aca="false">IFERROR(SUM(H129:H178),0)</f>
        <v>0</v>
      </c>
    </row>
    <row r="180" customFormat="false" ht="19.5" hidden="false" customHeight="true" outlineLevel="0" collapsed="false">
      <c r="A180" s="27" t="s">
        <v>299</v>
      </c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</row>
  </sheetData>
  <mergeCells count="16">
    <mergeCell ref="A1:D1"/>
    <mergeCell ref="A2:D2"/>
    <mergeCell ref="A5:D5"/>
    <mergeCell ref="A24:D24"/>
    <mergeCell ref="A34:D34"/>
    <mergeCell ref="A43:D43"/>
    <mergeCell ref="A54:D54"/>
    <mergeCell ref="A68:D68"/>
    <mergeCell ref="A74:D74"/>
    <mergeCell ref="A85:D85"/>
    <mergeCell ref="A86:D86"/>
    <mergeCell ref="A89:I89"/>
    <mergeCell ref="A126:E126"/>
    <mergeCell ref="A127:E127"/>
    <mergeCell ref="A179:D179"/>
    <mergeCell ref="A180:N180"/>
  </mergeCells>
  <dataValidations count="181">
    <dataValidation allowBlank="true" error="Select a valid option from the list." errorStyle="stop" errorTitle="Invalid Input" operator="between" showDropDown="false" showErrorMessage="true" showInputMessage="false" sqref="B6" type="list">
      <formula1>"On Track,At Risk,Delayed,Not Started,Completed"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70" type="list">
      <formula1>"Low,Medium,High,Critical"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71" type="list">
      <formula1>"Green,Amber,Red"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76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77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78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79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80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81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82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83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1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1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2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2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3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3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4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4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5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5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6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6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7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7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8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8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9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9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0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0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1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1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2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2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3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3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4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4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5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5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6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6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7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7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8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8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9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9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0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0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1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1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2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2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3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3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4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4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5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5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6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6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7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7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8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8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9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9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20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20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21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21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22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22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23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23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24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24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25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25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29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29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0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0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1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1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2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2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3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3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4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4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5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5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6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6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7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7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8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8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9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9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0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0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1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1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2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2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3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3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4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4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5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5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6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6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7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7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8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8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9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9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0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0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1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1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2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2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3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3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4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4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5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5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6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6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7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7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8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8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9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9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0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0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1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1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2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2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3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3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4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4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5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5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6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6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7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7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8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8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9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9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0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0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1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1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2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2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3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3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4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4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5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5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6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6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7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7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8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8" type="list">
      <formula1>"Pending,Confirmed,In Production,Shipped,Delivered,On Hold,Cancelled"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4"/>
    <col collapsed="false" customWidth="true" hidden="false" outlineLevel="0" max="3" min="3" style="1" width="10"/>
    <col collapsed="false" customWidth="true" hidden="false" outlineLevel="0" max="4" min="4" style="1" width="38"/>
    <col collapsed="false" customWidth="true" hidden="false" outlineLevel="0" max="5" min="5" style="1" width="20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8"/>
    <col collapsed="false" customWidth="true" hidden="false" outlineLevel="0" max="9" min="9" style="1" width="20"/>
    <col collapsed="false" customWidth="true" hidden="false" outlineLevel="0" max="10" min="10" style="1" width="13"/>
    <col collapsed="false" customWidth="true" hidden="false" outlineLevel="0" max="12" min="11" style="1" width="14"/>
    <col collapsed="false" customWidth="true" hidden="false" outlineLevel="0" max="13" min="13" style="1" width="16"/>
    <col collapsed="false" customWidth="true" hidden="false" outlineLevel="0" max="14" min="14" style="1" width="26"/>
  </cols>
  <sheetData>
    <row r="1" customFormat="false" ht="21.75" hidden="false" customHeight="true" outlineLevel="0" collapsed="false">
      <c r="A1" s="2" t="s">
        <v>345</v>
      </c>
      <c r="B1" s="2"/>
      <c r="C1" s="2"/>
      <c r="D1" s="2"/>
    </row>
    <row r="2" customFormat="false" ht="16.5" hidden="false" customHeight="true" outlineLevel="0" collapsed="false">
      <c r="A2" s="3" t="s">
        <v>87</v>
      </c>
      <c r="B2" s="3"/>
      <c r="C2" s="3"/>
      <c r="D2" s="3"/>
    </row>
    <row r="3" customFormat="false" ht="16.5" hidden="false" customHeight="true" outlineLevel="0" collapsed="false">
      <c r="A3" s="28" t="s">
        <v>88</v>
      </c>
      <c r="B3" s="29"/>
      <c r="C3" s="30" t="s">
        <v>89</v>
      </c>
      <c r="D3" s="31"/>
    </row>
    <row r="4" customFormat="false" ht="4.5" hidden="false" customHeight="true" outlineLevel="0" collapsed="false"/>
    <row r="5" customFormat="false" ht="19.5" hidden="false" customHeight="true" outlineLevel="0" collapsed="false">
      <c r="A5" s="32" t="s">
        <v>90</v>
      </c>
      <c r="B5" s="32"/>
      <c r="C5" s="32"/>
      <c r="D5" s="32"/>
    </row>
    <row r="6" customFormat="false" ht="18" hidden="false" customHeight="true" outlineLevel="0" collapsed="false">
      <c r="A6" s="33" t="s">
        <v>91</v>
      </c>
      <c r="B6" s="34"/>
      <c r="C6" s="35"/>
      <c r="D6" s="36" t="s">
        <v>93</v>
      </c>
    </row>
    <row r="7" customFormat="false" ht="18" hidden="false" customHeight="true" outlineLevel="0" collapsed="false">
      <c r="A7" s="37" t="s">
        <v>94</v>
      </c>
      <c r="B7" s="38"/>
      <c r="C7" s="35" t="s">
        <v>95</v>
      </c>
      <c r="D7" s="36" t="s">
        <v>96</v>
      </c>
    </row>
    <row r="8" customFormat="false" ht="18" hidden="false" customHeight="true" outlineLevel="0" collapsed="false">
      <c r="A8" s="33" t="s">
        <v>97</v>
      </c>
      <c r="B8" s="39" t="n">
        <f aca="false">IFERROR(SUMIF(H91:H125,"Spent",F91:F125),0)</f>
        <v>0</v>
      </c>
      <c r="C8" s="35" t="s">
        <v>95</v>
      </c>
      <c r="D8" s="36" t="s">
        <v>98</v>
      </c>
    </row>
    <row r="9" customFormat="false" ht="18" hidden="false" customHeight="true" outlineLevel="0" collapsed="false">
      <c r="A9" s="37" t="s">
        <v>99</v>
      </c>
      <c r="B9" s="39" t="n">
        <f aca="false">IFERROR(SUMIF(H91:H125,"Committed",F91:F125),0)</f>
        <v>0</v>
      </c>
      <c r="C9" s="35" t="s">
        <v>95</v>
      </c>
      <c r="D9" s="36" t="s">
        <v>98</v>
      </c>
    </row>
    <row r="10" customFormat="false" ht="18" hidden="false" customHeight="true" outlineLevel="0" collapsed="false">
      <c r="A10" s="33" t="s">
        <v>100</v>
      </c>
      <c r="B10" s="40" t="n">
        <f aca="false">IFERROR(B7-B8-B9,"")</f>
        <v>0</v>
      </c>
      <c r="C10" s="35" t="s">
        <v>95</v>
      </c>
      <c r="D10" s="36" t="s">
        <v>101</v>
      </c>
    </row>
    <row r="11" customFormat="false" ht="18" hidden="false" customHeight="true" outlineLevel="0" collapsed="false">
      <c r="A11" s="37" t="s">
        <v>102</v>
      </c>
      <c r="B11" s="41" t="str">
        <f aca="false">IFERROR(B8/B7,"")</f>
        <v/>
      </c>
      <c r="C11" s="35" t="s">
        <v>103</v>
      </c>
      <c r="D11" s="36" t="s">
        <v>104</v>
      </c>
    </row>
    <row r="12" customFormat="false" ht="18" hidden="false" customHeight="true" outlineLevel="0" collapsed="false">
      <c r="A12" s="33" t="s">
        <v>105</v>
      </c>
      <c r="B12" s="42"/>
      <c r="C12" s="35" t="s">
        <v>106</v>
      </c>
      <c r="D12" s="36" t="s">
        <v>107</v>
      </c>
    </row>
    <row r="13" customFormat="false" ht="18" hidden="false" customHeight="true" outlineLevel="0" collapsed="false">
      <c r="A13" s="37" t="s">
        <v>108</v>
      </c>
      <c r="B13" s="42"/>
      <c r="C13" s="35" t="s">
        <v>106</v>
      </c>
      <c r="D13" s="36" t="s">
        <v>109</v>
      </c>
    </row>
    <row r="14" customFormat="false" ht="18" hidden="false" customHeight="true" outlineLevel="0" collapsed="false">
      <c r="A14" s="33" t="s">
        <v>110</v>
      </c>
      <c r="B14" s="41" t="str">
        <f aca="false">IFERROR(B13/B12,"")</f>
        <v/>
      </c>
      <c r="C14" s="35" t="s">
        <v>103</v>
      </c>
      <c r="D14" s="36" t="s">
        <v>104</v>
      </c>
    </row>
    <row r="15" customFormat="false" ht="18" hidden="false" customHeight="true" outlineLevel="0" collapsed="false">
      <c r="A15" s="37" t="s">
        <v>111</v>
      </c>
      <c r="B15" s="31"/>
      <c r="C15" s="35" t="s">
        <v>112</v>
      </c>
      <c r="D15" s="36" t="s">
        <v>113</v>
      </c>
    </row>
    <row r="16" customFormat="false" ht="18" hidden="false" customHeight="true" outlineLevel="0" collapsed="false">
      <c r="A16" s="33" t="s">
        <v>114</v>
      </c>
      <c r="B16" s="31"/>
      <c r="C16" s="35" t="s">
        <v>112</v>
      </c>
      <c r="D16" s="36" t="s">
        <v>115</v>
      </c>
    </row>
    <row r="17" customFormat="false" ht="18" hidden="false" customHeight="true" outlineLevel="0" collapsed="false">
      <c r="A17" s="37" t="s">
        <v>116</v>
      </c>
      <c r="B17" s="41" t="str">
        <f aca="false">IFERROR(B16/B15,"")</f>
        <v/>
      </c>
      <c r="C17" s="35" t="s">
        <v>103</v>
      </c>
      <c r="D17" s="36" t="s">
        <v>104</v>
      </c>
    </row>
    <row r="18" customFormat="false" ht="18" hidden="false" customHeight="true" outlineLevel="0" collapsed="false">
      <c r="A18" s="33" t="s">
        <v>117</v>
      </c>
      <c r="B18" s="29"/>
      <c r="C18" s="35" t="s">
        <v>118</v>
      </c>
      <c r="D18" s="36" t="s">
        <v>119</v>
      </c>
    </row>
    <row r="19" customFormat="false" ht="18" hidden="false" customHeight="true" outlineLevel="0" collapsed="false">
      <c r="A19" s="37" t="s">
        <v>120</v>
      </c>
      <c r="B19" s="29"/>
      <c r="C19" s="35" t="s">
        <v>118</v>
      </c>
      <c r="D19" s="36" t="s">
        <v>121</v>
      </c>
    </row>
    <row r="20" customFormat="false" ht="18" hidden="false" customHeight="true" outlineLevel="0" collapsed="false">
      <c r="A20" s="33" t="s">
        <v>122</v>
      </c>
      <c r="B20" s="29"/>
      <c r="C20" s="35" t="s">
        <v>118</v>
      </c>
      <c r="D20" s="36" t="s">
        <v>123</v>
      </c>
    </row>
    <row r="21" customFormat="false" ht="18" hidden="false" customHeight="true" outlineLevel="0" collapsed="false">
      <c r="A21" s="37" t="s">
        <v>124</v>
      </c>
      <c r="B21" s="31"/>
      <c r="C21" s="35"/>
      <c r="D21" s="36" t="s">
        <v>126</v>
      </c>
    </row>
    <row r="22" customFormat="false" ht="18" hidden="false" customHeight="true" outlineLevel="0" collapsed="false">
      <c r="A22" s="33" t="s">
        <v>127</v>
      </c>
      <c r="B22" s="31"/>
      <c r="C22" s="35"/>
      <c r="D22" s="36" t="s">
        <v>129</v>
      </c>
    </row>
    <row r="23" customFormat="false" ht="4.5" hidden="false" customHeight="true" outlineLevel="0" collapsed="false"/>
    <row r="24" customFormat="false" ht="19.5" hidden="false" customHeight="true" outlineLevel="0" collapsed="false">
      <c r="A24" s="32" t="s">
        <v>130</v>
      </c>
      <c r="B24" s="32"/>
      <c r="C24" s="32"/>
      <c r="D24" s="32"/>
    </row>
    <row r="25" customFormat="false" ht="16.5" hidden="false" customHeight="true" outlineLevel="0" collapsed="false">
      <c r="A25" s="37" t="s">
        <v>131</v>
      </c>
      <c r="B25" s="31"/>
      <c r="C25" s="35" t="s">
        <v>133</v>
      </c>
      <c r="D25" s="36" t="s">
        <v>134</v>
      </c>
    </row>
    <row r="26" customFormat="false" ht="16.5" hidden="false" customHeight="true" outlineLevel="0" collapsed="false">
      <c r="A26" s="33" t="s">
        <v>135</v>
      </c>
      <c r="B26" s="31"/>
      <c r="C26" s="35" t="s">
        <v>133</v>
      </c>
      <c r="D26" s="36" t="s">
        <v>134</v>
      </c>
    </row>
    <row r="27" customFormat="false" ht="16.5" hidden="false" customHeight="true" outlineLevel="0" collapsed="false">
      <c r="A27" s="37" t="s">
        <v>137</v>
      </c>
      <c r="B27" s="31"/>
      <c r="C27" s="35" t="s">
        <v>133</v>
      </c>
      <c r="D27" s="36" t="s">
        <v>134</v>
      </c>
    </row>
    <row r="28" customFormat="false" ht="16.5" hidden="false" customHeight="true" outlineLevel="0" collapsed="false">
      <c r="A28" s="33" t="s">
        <v>139</v>
      </c>
      <c r="B28" s="31"/>
      <c r="C28" s="35" t="s">
        <v>133</v>
      </c>
      <c r="D28" s="36" t="s">
        <v>134</v>
      </c>
    </row>
    <row r="29" customFormat="false" ht="16.5" hidden="false" customHeight="true" outlineLevel="0" collapsed="false">
      <c r="A29" s="37" t="s">
        <v>141</v>
      </c>
      <c r="B29" s="31"/>
      <c r="C29" s="35" t="s">
        <v>133</v>
      </c>
      <c r="D29" s="36" t="s">
        <v>134</v>
      </c>
    </row>
    <row r="30" customFormat="false" ht="16.5" hidden="false" customHeight="true" outlineLevel="0" collapsed="false">
      <c r="A30" s="33" t="s">
        <v>143</v>
      </c>
      <c r="B30" s="31"/>
      <c r="C30" s="35" t="s">
        <v>133</v>
      </c>
      <c r="D30" s="36" t="s">
        <v>134</v>
      </c>
    </row>
    <row r="31" customFormat="false" ht="16.5" hidden="false" customHeight="true" outlineLevel="0" collapsed="false">
      <c r="A31" s="37" t="s">
        <v>144</v>
      </c>
      <c r="B31" s="31"/>
      <c r="C31" s="35" t="s">
        <v>133</v>
      </c>
      <c r="D31" s="36" t="s">
        <v>134</v>
      </c>
    </row>
    <row r="32" customFormat="false" ht="16.5" hidden="false" customHeight="true" outlineLevel="0" collapsed="false">
      <c r="A32" s="33" t="s">
        <v>145</v>
      </c>
      <c r="B32" s="31"/>
      <c r="C32" s="35" t="s">
        <v>133</v>
      </c>
      <c r="D32" s="36" t="s">
        <v>134</v>
      </c>
    </row>
    <row r="33" customFormat="false" ht="4.5" hidden="false" customHeight="true" outlineLevel="0" collapsed="false"/>
    <row r="34" customFormat="false" ht="19.5" hidden="false" customHeight="true" outlineLevel="0" collapsed="false">
      <c r="A34" s="32" t="s">
        <v>146</v>
      </c>
      <c r="B34" s="32"/>
      <c r="C34" s="32"/>
      <c r="D34" s="32"/>
    </row>
    <row r="35" customFormat="false" ht="18" hidden="false" customHeight="true" outlineLevel="0" collapsed="false">
      <c r="A35" s="33" t="s">
        <v>147</v>
      </c>
      <c r="B35" s="40" t="n">
        <f aca="false">IFERROR(COUNTIF(M129:M178,"Pending"),0)</f>
        <v>0</v>
      </c>
      <c r="C35" s="35" t="s">
        <v>106</v>
      </c>
      <c r="D35" s="36" t="s">
        <v>148</v>
      </c>
    </row>
    <row r="36" customFormat="false" ht="18" hidden="false" customHeight="true" outlineLevel="0" collapsed="false">
      <c r="A36" s="37" t="s">
        <v>149</v>
      </c>
      <c r="B36" s="40" t="n">
        <f aca="false">IFERROR(COUNTIF(M129:M178,"Confirmed"),0)</f>
        <v>0</v>
      </c>
      <c r="C36" s="35" t="s">
        <v>106</v>
      </c>
      <c r="D36" s="36" t="s">
        <v>148</v>
      </c>
    </row>
    <row r="37" customFormat="false" ht="18" hidden="false" customHeight="true" outlineLevel="0" collapsed="false">
      <c r="A37" s="33" t="s">
        <v>150</v>
      </c>
      <c r="B37" s="40" t="n">
        <f aca="false">IFERROR(COUNTIF(M129:M178,"In Production"),0)</f>
        <v>0</v>
      </c>
      <c r="C37" s="35" t="s">
        <v>106</v>
      </c>
      <c r="D37" s="36" t="s">
        <v>148</v>
      </c>
    </row>
    <row r="38" customFormat="false" ht="18" hidden="false" customHeight="true" outlineLevel="0" collapsed="false">
      <c r="A38" s="37" t="s">
        <v>151</v>
      </c>
      <c r="B38" s="40" t="n">
        <f aca="false">IFERROR(COUNTIF(M129:M178,"Shipped"),0)</f>
        <v>0</v>
      </c>
      <c r="C38" s="35" t="s">
        <v>106</v>
      </c>
      <c r="D38" s="36" t="s">
        <v>148</v>
      </c>
    </row>
    <row r="39" customFormat="false" ht="18" hidden="false" customHeight="true" outlineLevel="0" collapsed="false">
      <c r="A39" s="33" t="s">
        <v>152</v>
      </c>
      <c r="B39" s="40" t="n">
        <f aca="false">IFERROR(COUNTIF(M129:M178,"Delivered"),0)</f>
        <v>0</v>
      </c>
      <c r="C39" s="35" t="s">
        <v>106</v>
      </c>
      <c r="D39" s="36" t="s">
        <v>148</v>
      </c>
    </row>
    <row r="40" customFormat="false" ht="18" hidden="false" customHeight="true" outlineLevel="0" collapsed="false">
      <c r="A40" s="37" t="s">
        <v>153</v>
      </c>
      <c r="B40" s="40" t="n">
        <f aca="false">IFERROR(SUM(B35:B39),0)</f>
        <v>0</v>
      </c>
      <c r="C40" s="35" t="s">
        <v>106</v>
      </c>
      <c r="D40" s="36" t="s">
        <v>154</v>
      </c>
    </row>
    <row r="41" customFormat="false" ht="18" hidden="false" customHeight="true" outlineLevel="0" collapsed="false">
      <c r="A41" s="33" t="s">
        <v>155</v>
      </c>
      <c r="B41" s="43"/>
      <c r="C41" s="35" t="s">
        <v>103</v>
      </c>
      <c r="D41" s="36" t="s">
        <v>156</v>
      </c>
    </row>
    <row r="42" customFormat="false" ht="4.5" hidden="false" customHeight="true" outlineLevel="0" collapsed="false"/>
    <row r="43" customFormat="false" ht="19.5" hidden="false" customHeight="true" outlineLevel="0" collapsed="false">
      <c r="A43" s="32" t="s">
        <v>157</v>
      </c>
      <c r="B43" s="32"/>
      <c r="C43" s="32"/>
      <c r="D43" s="32"/>
    </row>
    <row r="44" customFormat="false" ht="18" hidden="false" customHeight="true" outlineLevel="0" collapsed="false">
      <c r="A44" s="33" t="s">
        <v>158</v>
      </c>
      <c r="B44" s="42"/>
      <c r="C44" s="35" t="s">
        <v>159</v>
      </c>
      <c r="D44" s="36" t="s">
        <v>160</v>
      </c>
    </row>
    <row r="45" customFormat="false" ht="18" hidden="false" customHeight="true" outlineLevel="0" collapsed="false">
      <c r="A45" s="37" t="s">
        <v>161</v>
      </c>
      <c r="B45" s="42"/>
      <c r="C45" s="35" t="s">
        <v>159</v>
      </c>
      <c r="D45" s="36" t="s">
        <v>162</v>
      </c>
    </row>
    <row r="46" customFormat="false" ht="18" hidden="false" customHeight="true" outlineLevel="0" collapsed="false">
      <c r="A46" s="33" t="s">
        <v>163</v>
      </c>
      <c r="B46" s="40" t="n">
        <f aca="false">IFERROR(B44+B45,"")</f>
        <v>0</v>
      </c>
      <c r="C46" s="35" t="s">
        <v>159</v>
      </c>
      <c r="D46" s="36" t="s">
        <v>104</v>
      </c>
    </row>
    <row r="47" customFormat="false" ht="18" hidden="false" customHeight="true" outlineLevel="0" collapsed="false">
      <c r="A47" s="37" t="s">
        <v>164</v>
      </c>
      <c r="B47" s="42"/>
      <c r="C47" s="35" t="s">
        <v>159</v>
      </c>
      <c r="D47" s="36" t="s">
        <v>165</v>
      </c>
    </row>
    <row r="48" customFormat="false" ht="18" hidden="false" customHeight="true" outlineLevel="0" collapsed="false">
      <c r="A48" s="33" t="s">
        <v>166</v>
      </c>
      <c r="B48" s="41" t="str">
        <f aca="false">IFERROR((B44+B45)/B47,"")</f>
        <v/>
      </c>
      <c r="C48" s="35" t="s">
        <v>103</v>
      </c>
      <c r="D48" s="36" t="s">
        <v>104</v>
      </c>
    </row>
    <row r="49" customFormat="false" ht="18" hidden="false" customHeight="true" outlineLevel="0" collapsed="false">
      <c r="A49" s="37" t="s">
        <v>167</v>
      </c>
      <c r="B49" s="31"/>
      <c r="C49" s="35" t="s">
        <v>169</v>
      </c>
      <c r="D49" s="36" t="s">
        <v>170</v>
      </c>
    </row>
    <row r="50" customFormat="false" ht="18" hidden="false" customHeight="true" outlineLevel="0" collapsed="false">
      <c r="A50" s="33" t="s">
        <v>171</v>
      </c>
      <c r="B50" s="31"/>
      <c r="C50" s="35" t="s">
        <v>169</v>
      </c>
      <c r="D50" s="36" t="s">
        <v>173</v>
      </c>
    </row>
    <row r="51" customFormat="false" ht="18" hidden="false" customHeight="true" outlineLevel="0" collapsed="false">
      <c r="A51" s="37" t="s">
        <v>174</v>
      </c>
      <c r="B51" s="31"/>
      <c r="C51" s="35" t="s">
        <v>169</v>
      </c>
      <c r="D51" s="36"/>
    </row>
    <row r="52" customFormat="false" ht="18" hidden="false" customHeight="true" outlineLevel="0" collapsed="false">
      <c r="A52" s="33" t="s">
        <v>176</v>
      </c>
      <c r="B52" s="31"/>
      <c r="C52" s="35" t="s">
        <v>169</v>
      </c>
      <c r="D52" s="36"/>
    </row>
    <row r="53" customFormat="false" ht="4.5" hidden="false" customHeight="true" outlineLevel="0" collapsed="false"/>
    <row r="54" customFormat="false" ht="19.5" hidden="false" customHeight="true" outlineLevel="0" collapsed="false">
      <c r="A54" s="32" t="s">
        <v>177</v>
      </c>
      <c r="B54" s="32"/>
      <c r="C54" s="32"/>
      <c r="D54" s="32"/>
    </row>
    <row r="55" customFormat="false" ht="18" hidden="false" customHeight="true" outlineLevel="0" collapsed="false">
      <c r="A55" s="33" t="s">
        <v>178</v>
      </c>
      <c r="B55" s="42"/>
      <c r="C55" s="35" t="s">
        <v>106</v>
      </c>
      <c r="D55" s="36" t="s">
        <v>179</v>
      </c>
    </row>
    <row r="56" customFormat="false" ht="18" hidden="false" customHeight="true" outlineLevel="0" collapsed="false">
      <c r="A56" s="37" t="s">
        <v>180</v>
      </c>
      <c r="B56" s="42"/>
      <c r="C56" s="35" t="s">
        <v>106</v>
      </c>
      <c r="D56" s="36" t="s">
        <v>181</v>
      </c>
    </row>
    <row r="57" customFormat="false" ht="18" hidden="false" customHeight="true" outlineLevel="0" collapsed="false">
      <c r="A57" s="33" t="s">
        <v>182</v>
      </c>
      <c r="B57" s="42"/>
      <c r="C57" s="35" t="s">
        <v>106</v>
      </c>
      <c r="D57" s="36" t="s">
        <v>183</v>
      </c>
    </row>
    <row r="58" customFormat="false" ht="18" hidden="false" customHeight="true" outlineLevel="0" collapsed="false">
      <c r="A58" s="37" t="s">
        <v>184</v>
      </c>
      <c r="B58" s="42"/>
      <c r="C58" s="35" t="s">
        <v>106</v>
      </c>
      <c r="D58" s="36" t="s">
        <v>185</v>
      </c>
    </row>
    <row r="59" customFormat="false" ht="18" hidden="false" customHeight="true" outlineLevel="0" collapsed="false">
      <c r="A59" s="33" t="s">
        <v>186</v>
      </c>
      <c r="B59" s="41" t="str">
        <f aca="false">IFERROR(B56/B55,"")</f>
        <v/>
      </c>
      <c r="C59" s="35" t="s">
        <v>103</v>
      </c>
      <c r="D59" s="36" t="s">
        <v>104</v>
      </c>
    </row>
    <row r="60" customFormat="false" ht="18" hidden="false" customHeight="true" outlineLevel="0" collapsed="false">
      <c r="A60" s="37" t="s">
        <v>187</v>
      </c>
      <c r="B60" s="41" t="str">
        <f aca="false">IFERROR(B57/B55,"")</f>
        <v/>
      </c>
      <c r="C60" s="35" t="s">
        <v>103</v>
      </c>
      <c r="D60" s="36" t="s">
        <v>104</v>
      </c>
    </row>
    <row r="61" customFormat="false" ht="18" hidden="false" customHeight="true" outlineLevel="0" collapsed="false">
      <c r="A61" s="33" t="s">
        <v>188</v>
      </c>
      <c r="B61" s="41" t="str">
        <f aca="false">IFERROR(B58/B55,"")</f>
        <v/>
      </c>
      <c r="C61" s="35" t="s">
        <v>103</v>
      </c>
      <c r="D61" s="36" t="s">
        <v>104</v>
      </c>
    </row>
    <row r="62" customFormat="false" ht="18" hidden="false" customHeight="true" outlineLevel="0" collapsed="false">
      <c r="A62" s="37" t="s">
        <v>189</v>
      </c>
      <c r="B62" s="31"/>
      <c r="C62" s="35"/>
      <c r="D62" s="36" t="s">
        <v>191</v>
      </c>
    </row>
    <row r="63" customFormat="false" ht="18" hidden="false" customHeight="true" outlineLevel="0" collapsed="false">
      <c r="A63" s="33" t="s">
        <v>192</v>
      </c>
      <c r="B63" s="31"/>
      <c r="C63" s="35"/>
      <c r="D63" s="36"/>
    </row>
    <row r="64" customFormat="false" ht="18" hidden="false" customHeight="true" outlineLevel="0" collapsed="false">
      <c r="A64" s="37" t="s">
        <v>194</v>
      </c>
      <c r="B64" s="31"/>
      <c r="C64" s="35"/>
      <c r="D64" s="36"/>
    </row>
    <row r="65" customFormat="false" ht="18" hidden="false" customHeight="true" outlineLevel="0" collapsed="false">
      <c r="A65" s="33" t="s">
        <v>196</v>
      </c>
      <c r="B65" s="31"/>
      <c r="C65" s="35"/>
      <c r="D65" s="36"/>
    </row>
    <row r="66" customFormat="false" ht="18" hidden="false" customHeight="true" outlineLevel="0" collapsed="false">
      <c r="A66" s="37" t="s">
        <v>198</v>
      </c>
      <c r="B66" s="31"/>
      <c r="C66" s="35"/>
      <c r="D66" s="36"/>
    </row>
    <row r="67" customFormat="false" ht="4.5" hidden="false" customHeight="true" outlineLevel="0" collapsed="false"/>
    <row r="68" customFormat="false" ht="19.5" hidden="false" customHeight="true" outlineLevel="0" collapsed="false">
      <c r="A68" s="32" t="s">
        <v>199</v>
      </c>
      <c r="B68" s="32"/>
      <c r="C68" s="32"/>
      <c r="D68" s="32"/>
    </row>
    <row r="69" customFormat="false" ht="18" hidden="false" customHeight="true" outlineLevel="0" collapsed="false">
      <c r="A69" s="33" t="s">
        <v>200</v>
      </c>
      <c r="B69" s="43"/>
      <c r="C69" s="35" t="s">
        <v>103</v>
      </c>
      <c r="D69" s="36" t="s">
        <v>201</v>
      </c>
    </row>
    <row r="70" customFormat="false" ht="18" hidden="false" customHeight="true" outlineLevel="0" collapsed="false">
      <c r="A70" s="37" t="s">
        <v>202</v>
      </c>
      <c r="B70" s="31"/>
      <c r="C70" s="35"/>
      <c r="D70" s="36" t="s">
        <v>204</v>
      </c>
    </row>
    <row r="71" customFormat="false" ht="18" hidden="false" customHeight="true" outlineLevel="0" collapsed="false">
      <c r="A71" s="33" t="s">
        <v>205</v>
      </c>
      <c r="B71" s="31"/>
      <c r="C71" s="35"/>
      <c r="D71" s="36" t="s">
        <v>206</v>
      </c>
    </row>
    <row r="72" customFormat="false" ht="18" hidden="false" customHeight="true" outlineLevel="0" collapsed="false">
      <c r="A72" s="37" t="s">
        <v>207</v>
      </c>
      <c r="B72" s="31"/>
      <c r="C72" s="35"/>
      <c r="D72" s="36" t="s">
        <v>208</v>
      </c>
    </row>
    <row r="73" customFormat="false" ht="4.5" hidden="false" customHeight="true" outlineLevel="0" collapsed="false"/>
    <row r="74" customFormat="false" ht="19.5" hidden="false" customHeight="true" outlineLevel="0" collapsed="false">
      <c r="A74" s="44" t="s">
        <v>209</v>
      </c>
      <c r="B74" s="44"/>
      <c r="C74" s="44"/>
      <c r="D74" s="44"/>
    </row>
    <row r="75" customFormat="false" ht="18" hidden="false" customHeight="true" outlineLevel="0" collapsed="false">
      <c r="A75" s="45" t="s">
        <v>210</v>
      </c>
      <c r="B75" s="45" t="s">
        <v>211</v>
      </c>
      <c r="C75" s="45" t="s">
        <v>212</v>
      </c>
      <c r="D75" s="45" t="s">
        <v>213</v>
      </c>
    </row>
    <row r="76" customFormat="false" ht="30" hidden="false" customHeight="true" outlineLevel="0" collapsed="false">
      <c r="A76" s="46" t="n">
        <v>1</v>
      </c>
      <c r="B76" s="47"/>
      <c r="C76" s="48"/>
      <c r="D76" s="48"/>
    </row>
    <row r="77" customFormat="false" ht="30" hidden="false" customHeight="true" outlineLevel="0" collapsed="false">
      <c r="A77" s="49" t="n">
        <v>2</v>
      </c>
      <c r="B77" s="47"/>
      <c r="C77" s="48"/>
      <c r="D77" s="48"/>
    </row>
    <row r="78" customFormat="false" ht="30" hidden="false" customHeight="true" outlineLevel="0" collapsed="false">
      <c r="A78" s="46" t="n">
        <v>3</v>
      </c>
      <c r="B78" s="47"/>
      <c r="C78" s="48"/>
      <c r="D78" s="48"/>
    </row>
    <row r="79" customFormat="false" ht="30" hidden="false" customHeight="true" outlineLevel="0" collapsed="false">
      <c r="A79" s="49" t="n">
        <v>4</v>
      </c>
      <c r="B79" s="47"/>
      <c r="C79" s="48"/>
      <c r="D79" s="48"/>
    </row>
    <row r="80" customFormat="false" ht="30" hidden="false" customHeight="true" outlineLevel="0" collapsed="false">
      <c r="A80" s="46" t="n">
        <v>5</v>
      </c>
      <c r="B80" s="47"/>
      <c r="C80" s="48"/>
      <c r="D80" s="48"/>
    </row>
    <row r="81" customFormat="false" ht="30" hidden="false" customHeight="true" outlineLevel="0" collapsed="false">
      <c r="A81" s="49" t="n">
        <v>6</v>
      </c>
      <c r="B81" s="47"/>
      <c r="C81" s="48"/>
      <c r="D81" s="48"/>
    </row>
    <row r="82" customFormat="false" ht="30" hidden="false" customHeight="true" outlineLevel="0" collapsed="false">
      <c r="A82" s="46" t="n">
        <v>7</v>
      </c>
      <c r="B82" s="47"/>
      <c r="C82" s="48"/>
      <c r="D82" s="48"/>
    </row>
    <row r="83" customFormat="false" ht="30" hidden="false" customHeight="true" outlineLevel="0" collapsed="false">
      <c r="A83" s="49" t="n">
        <v>8</v>
      </c>
      <c r="B83" s="47"/>
      <c r="C83" s="48"/>
      <c r="D83" s="48"/>
    </row>
    <row r="84" customFormat="false" ht="4.5" hidden="false" customHeight="true" outlineLevel="0" collapsed="false"/>
    <row r="85" customFormat="false" ht="13.5" hidden="false" customHeight="true" outlineLevel="0" collapsed="false">
      <c r="A85" s="26" t="s">
        <v>219</v>
      </c>
      <c r="B85" s="26"/>
      <c r="C85" s="26"/>
      <c r="D85" s="26"/>
    </row>
    <row r="86" customFormat="false" ht="13.5" hidden="false" customHeight="true" outlineLevel="0" collapsed="false">
      <c r="A86" s="50" t="s">
        <v>220</v>
      </c>
      <c r="B86" s="50"/>
      <c r="C86" s="50"/>
      <c r="D86" s="50"/>
    </row>
    <row r="87" customFormat="false" ht="7.5" hidden="false" customHeight="true" outlineLevel="0" collapsed="false"/>
    <row r="88" customFormat="false" ht="7.5" hidden="false" customHeight="true" outlineLevel="0" collapsed="false"/>
    <row r="89" customFormat="false" ht="19.5" hidden="false" customHeight="true" outlineLevel="0" collapsed="false">
      <c r="A89" s="32" t="s">
        <v>221</v>
      </c>
      <c r="B89" s="32"/>
      <c r="C89" s="32"/>
      <c r="D89" s="32"/>
      <c r="E89" s="32"/>
      <c r="F89" s="32"/>
      <c r="G89" s="32"/>
      <c r="H89" s="32"/>
      <c r="I89" s="32"/>
    </row>
    <row r="90" customFormat="false" ht="30" hidden="false" customHeight="true" outlineLevel="0" collapsed="false">
      <c r="A90" s="51" t="s">
        <v>106</v>
      </c>
      <c r="B90" s="51" t="s">
        <v>222</v>
      </c>
      <c r="C90" s="51" t="s">
        <v>223</v>
      </c>
      <c r="D90" s="51" t="s">
        <v>224</v>
      </c>
      <c r="E90" s="51" t="s">
        <v>225</v>
      </c>
      <c r="F90" s="51" t="s">
        <v>226</v>
      </c>
      <c r="G90" s="51" t="s">
        <v>227</v>
      </c>
      <c r="H90" s="51" t="s">
        <v>228</v>
      </c>
      <c r="I90" s="51" t="s">
        <v>229</v>
      </c>
    </row>
    <row r="91" customFormat="false" ht="16.5" hidden="false" customHeight="true" outlineLevel="0" collapsed="false">
      <c r="A91" s="52" t="n">
        <v>1</v>
      </c>
      <c r="B91" s="53"/>
      <c r="C91" s="53"/>
      <c r="D91" s="53"/>
      <c r="E91" s="53"/>
      <c r="F91" s="54"/>
      <c r="G91" s="55"/>
      <c r="H91" s="53"/>
      <c r="I91" s="53"/>
    </row>
    <row r="92" customFormat="false" ht="16.5" hidden="false" customHeight="true" outlineLevel="0" collapsed="false">
      <c r="A92" s="52" t="n">
        <v>2</v>
      </c>
      <c r="B92" s="53"/>
      <c r="C92" s="53"/>
      <c r="D92" s="53"/>
      <c r="E92" s="53"/>
      <c r="F92" s="54"/>
      <c r="G92" s="55"/>
      <c r="H92" s="53"/>
      <c r="I92" s="53"/>
    </row>
    <row r="93" customFormat="false" ht="16.5" hidden="false" customHeight="true" outlineLevel="0" collapsed="false">
      <c r="A93" s="52" t="n">
        <v>3</v>
      </c>
      <c r="B93" s="53"/>
      <c r="C93" s="53"/>
      <c r="D93" s="53"/>
      <c r="E93" s="53"/>
      <c r="F93" s="54"/>
      <c r="G93" s="55"/>
      <c r="H93" s="53"/>
      <c r="I93" s="53"/>
    </row>
    <row r="94" customFormat="false" ht="16.5" hidden="false" customHeight="true" outlineLevel="0" collapsed="false">
      <c r="A94" s="52" t="n">
        <v>4</v>
      </c>
      <c r="B94" s="53"/>
      <c r="C94" s="53"/>
      <c r="D94" s="53"/>
      <c r="E94" s="53"/>
      <c r="F94" s="54"/>
      <c r="G94" s="55"/>
      <c r="H94" s="53"/>
      <c r="I94" s="53"/>
    </row>
    <row r="95" customFormat="false" ht="16.5" hidden="false" customHeight="true" outlineLevel="0" collapsed="false">
      <c r="A95" s="52" t="n">
        <v>5</v>
      </c>
      <c r="B95" s="53"/>
      <c r="C95" s="53"/>
      <c r="D95" s="53"/>
      <c r="E95" s="53"/>
      <c r="F95" s="54"/>
      <c r="G95" s="55"/>
      <c r="H95" s="53"/>
      <c r="I95" s="53"/>
    </row>
    <row r="96" customFormat="false" ht="16.5" hidden="false" customHeight="true" outlineLevel="0" collapsed="false">
      <c r="A96" s="52" t="n">
        <v>6</v>
      </c>
      <c r="B96" s="53"/>
      <c r="C96" s="53"/>
      <c r="D96" s="53"/>
      <c r="E96" s="53"/>
      <c r="F96" s="54"/>
      <c r="G96" s="55"/>
      <c r="H96" s="53"/>
      <c r="I96" s="53"/>
    </row>
    <row r="97" customFormat="false" ht="16.5" hidden="false" customHeight="true" outlineLevel="0" collapsed="false">
      <c r="A97" s="52" t="n">
        <v>7</v>
      </c>
      <c r="B97" s="53"/>
      <c r="C97" s="53"/>
      <c r="D97" s="53"/>
      <c r="E97" s="53"/>
      <c r="F97" s="54"/>
      <c r="G97" s="55"/>
      <c r="H97" s="53"/>
      <c r="I97" s="53"/>
    </row>
    <row r="98" customFormat="false" ht="16.5" hidden="false" customHeight="true" outlineLevel="0" collapsed="false">
      <c r="A98" s="52" t="n">
        <v>8</v>
      </c>
      <c r="B98" s="53"/>
      <c r="C98" s="53"/>
      <c r="D98" s="53"/>
      <c r="E98" s="53"/>
      <c r="F98" s="54"/>
      <c r="G98" s="55"/>
      <c r="H98" s="53"/>
      <c r="I98" s="53"/>
    </row>
    <row r="99" customFormat="false" ht="16.5" hidden="false" customHeight="true" outlineLevel="0" collapsed="false">
      <c r="A99" s="52" t="n">
        <v>9</v>
      </c>
      <c r="B99" s="53"/>
      <c r="C99" s="53"/>
      <c r="D99" s="53"/>
      <c r="E99" s="53"/>
      <c r="F99" s="54"/>
      <c r="G99" s="55"/>
      <c r="H99" s="53"/>
      <c r="I99" s="53"/>
    </row>
    <row r="100" customFormat="false" ht="16.5" hidden="false" customHeight="true" outlineLevel="0" collapsed="false">
      <c r="A100" s="52" t="n">
        <v>10</v>
      </c>
      <c r="B100" s="53"/>
      <c r="C100" s="53"/>
      <c r="D100" s="53"/>
      <c r="E100" s="53"/>
      <c r="F100" s="54"/>
      <c r="G100" s="55"/>
      <c r="H100" s="53"/>
      <c r="I100" s="53"/>
    </row>
    <row r="101" customFormat="false" ht="16.5" hidden="false" customHeight="true" outlineLevel="0" collapsed="false">
      <c r="A101" s="52" t="n">
        <v>11</v>
      </c>
      <c r="B101" s="53"/>
      <c r="C101" s="53"/>
      <c r="D101" s="53"/>
      <c r="E101" s="53"/>
      <c r="F101" s="54"/>
      <c r="G101" s="55"/>
      <c r="H101" s="53"/>
      <c r="I101" s="53"/>
    </row>
    <row r="102" customFormat="false" ht="16.5" hidden="false" customHeight="true" outlineLevel="0" collapsed="false">
      <c r="A102" s="52" t="n">
        <v>12</v>
      </c>
      <c r="B102" s="53"/>
      <c r="C102" s="53"/>
      <c r="D102" s="53"/>
      <c r="E102" s="53"/>
      <c r="F102" s="54"/>
      <c r="G102" s="55"/>
      <c r="H102" s="53"/>
      <c r="I102" s="53"/>
    </row>
    <row r="103" customFormat="false" ht="16.5" hidden="false" customHeight="true" outlineLevel="0" collapsed="false">
      <c r="A103" s="52" t="n">
        <v>13</v>
      </c>
      <c r="B103" s="53"/>
      <c r="C103" s="53"/>
      <c r="D103" s="53"/>
      <c r="E103" s="53"/>
      <c r="F103" s="54"/>
      <c r="G103" s="55"/>
      <c r="H103" s="53"/>
      <c r="I103" s="53"/>
    </row>
    <row r="104" customFormat="false" ht="16.5" hidden="false" customHeight="true" outlineLevel="0" collapsed="false">
      <c r="A104" s="52" t="n">
        <v>14</v>
      </c>
      <c r="B104" s="53"/>
      <c r="C104" s="53"/>
      <c r="D104" s="53"/>
      <c r="E104" s="53"/>
      <c r="F104" s="54"/>
      <c r="G104" s="55"/>
      <c r="H104" s="53"/>
      <c r="I104" s="53"/>
    </row>
    <row r="105" customFormat="false" ht="16.5" hidden="false" customHeight="true" outlineLevel="0" collapsed="false">
      <c r="A105" s="52" t="n">
        <v>15</v>
      </c>
      <c r="B105" s="53"/>
      <c r="C105" s="53"/>
      <c r="D105" s="53"/>
      <c r="E105" s="53"/>
      <c r="F105" s="54"/>
      <c r="G105" s="55"/>
      <c r="H105" s="53"/>
      <c r="I105" s="53"/>
    </row>
    <row r="106" customFormat="false" ht="16.5" hidden="false" customHeight="true" outlineLevel="0" collapsed="false">
      <c r="A106" s="52" t="n">
        <v>16</v>
      </c>
      <c r="B106" s="53"/>
      <c r="C106" s="53"/>
      <c r="D106" s="53"/>
      <c r="E106" s="53"/>
      <c r="F106" s="54"/>
      <c r="G106" s="55"/>
      <c r="H106" s="53"/>
      <c r="I106" s="53"/>
    </row>
    <row r="107" customFormat="false" ht="16.5" hidden="false" customHeight="true" outlineLevel="0" collapsed="false">
      <c r="A107" s="52" t="n">
        <v>17</v>
      </c>
      <c r="B107" s="53"/>
      <c r="C107" s="53"/>
      <c r="D107" s="53"/>
      <c r="E107" s="53"/>
      <c r="F107" s="54"/>
      <c r="G107" s="55"/>
      <c r="H107" s="53"/>
      <c r="I107" s="53"/>
    </row>
    <row r="108" customFormat="false" ht="16.5" hidden="false" customHeight="true" outlineLevel="0" collapsed="false">
      <c r="A108" s="52" t="n">
        <v>18</v>
      </c>
      <c r="B108" s="53"/>
      <c r="C108" s="53"/>
      <c r="D108" s="53"/>
      <c r="E108" s="53"/>
      <c r="F108" s="54"/>
      <c r="G108" s="55"/>
      <c r="H108" s="53"/>
      <c r="I108" s="53"/>
    </row>
    <row r="109" customFormat="false" ht="16.5" hidden="false" customHeight="true" outlineLevel="0" collapsed="false">
      <c r="A109" s="52" t="n">
        <v>19</v>
      </c>
      <c r="B109" s="53"/>
      <c r="C109" s="53"/>
      <c r="D109" s="53"/>
      <c r="E109" s="53"/>
      <c r="F109" s="54"/>
      <c r="G109" s="55"/>
      <c r="H109" s="53"/>
      <c r="I109" s="53"/>
    </row>
    <row r="110" customFormat="false" ht="16.5" hidden="false" customHeight="true" outlineLevel="0" collapsed="false">
      <c r="A110" s="52" t="n">
        <v>20</v>
      </c>
      <c r="B110" s="53"/>
      <c r="C110" s="53"/>
      <c r="D110" s="53"/>
      <c r="E110" s="53"/>
      <c r="F110" s="54"/>
      <c r="G110" s="55"/>
      <c r="H110" s="53"/>
      <c r="I110" s="53"/>
    </row>
    <row r="111" customFormat="false" ht="16.5" hidden="false" customHeight="true" outlineLevel="0" collapsed="false">
      <c r="A111" s="52" t="n">
        <v>21</v>
      </c>
      <c r="B111" s="53"/>
      <c r="C111" s="53"/>
      <c r="D111" s="53"/>
      <c r="E111" s="53"/>
      <c r="F111" s="54"/>
      <c r="G111" s="55"/>
      <c r="H111" s="53"/>
      <c r="I111" s="53"/>
    </row>
    <row r="112" customFormat="false" ht="16.5" hidden="false" customHeight="true" outlineLevel="0" collapsed="false">
      <c r="A112" s="52" t="n">
        <v>22</v>
      </c>
      <c r="B112" s="53"/>
      <c r="C112" s="53"/>
      <c r="D112" s="53"/>
      <c r="E112" s="53"/>
      <c r="F112" s="54"/>
      <c r="G112" s="55"/>
      <c r="H112" s="53"/>
      <c r="I112" s="53"/>
    </row>
    <row r="113" customFormat="false" ht="16.5" hidden="false" customHeight="true" outlineLevel="0" collapsed="false">
      <c r="A113" s="52" t="n">
        <v>23</v>
      </c>
      <c r="B113" s="53"/>
      <c r="C113" s="53"/>
      <c r="D113" s="53"/>
      <c r="E113" s="53"/>
      <c r="F113" s="54"/>
      <c r="G113" s="55"/>
      <c r="H113" s="53"/>
      <c r="I113" s="53"/>
    </row>
    <row r="114" customFormat="false" ht="16.5" hidden="false" customHeight="true" outlineLevel="0" collapsed="false">
      <c r="A114" s="52" t="n">
        <v>24</v>
      </c>
      <c r="B114" s="53"/>
      <c r="C114" s="53"/>
      <c r="D114" s="53"/>
      <c r="E114" s="53"/>
      <c r="F114" s="54"/>
      <c r="G114" s="55"/>
      <c r="H114" s="53"/>
      <c r="I114" s="53"/>
    </row>
    <row r="115" customFormat="false" ht="16.5" hidden="false" customHeight="true" outlineLevel="0" collapsed="false">
      <c r="A115" s="52" t="n">
        <v>25</v>
      </c>
      <c r="B115" s="53"/>
      <c r="C115" s="53"/>
      <c r="D115" s="53"/>
      <c r="E115" s="53"/>
      <c r="F115" s="54"/>
      <c r="G115" s="55"/>
      <c r="H115" s="53"/>
      <c r="I115" s="53"/>
    </row>
    <row r="116" customFormat="false" ht="16.5" hidden="false" customHeight="true" outlineLevel="0" collapsed="false">
      <c r="A116" s="52" t="n">
        <v>26</v>
      </c>
      <c r="B116" s="53"/>
      <c r="C116" s="53"/>
      <c r="D116" s="53"/>
      <c r="E116" s="53"/>
      <c r="F116" s="54"/>
      <c r="G116" s="55"/>
      <c r="H116" s="53"/>
      <c r="I116" s="53"/>
    </row>
    <row r="117" customFormat="false" ht="16.5" hidden="false" customHeight="true" outlineLevel="0" collapsed="false">
      <c r="A117" s="52" t="n">
        <v>27</v>
      </c>
      <c r="B117" s="53"/>
      <c r="C117" s="53"/>
      <c r="D117" s="53"/>
      <c r="E117" s="53"/>
      <c r="F117" s="54"/>
      <c r="G117" s="55"/>
      <c r="H117" s="53"/>
      <c r="I117" s="53"/>
    </row>
    <row r="118" customFormat="false" ht="16.5" hidden="false" customHeight="true" outlineLevel="0" collapsed="false">
      <c r="A118" s="52" t="n">
        <v>28</v>
      </c>
      <c r="B118" s="53"/>
      <c r="C118" s="53"/>
      <c r="D118" s="53"/>
      <c r="E118" s="53"/>
      <c r="F118" s="54"/>
      <c r="G118" s="55"/>
      <c r="H118" s="53"/>
      <c r="I118" s="53"/>
    </row>
    <row r="119" customFormat="false" ht="16.5" hidden="false" customHeight="true" outlineLevel="0" collapsed="false">
      <c r="A119" s="52" t="n">
        <v>29</v>
      </c>
      <c r="B119" s="53"/>
      <c r="C119" s="53"/>
      <c r="D119" s="53"/>
      <c r="E119" s="53"/>
      <c r="F119" s="54"/>
      <c r="G119" s="55"/>
      <c r="H119" s="53"/>
      <c r="I119" s="53"/>
    </row>
    <row r="120" customFormat="false" ht="16.5" hidden="false" customHeight="true" outlineLevel="0" collapsed="false">
      <c r="A120" s="52" t="n">
        <v>30</v>
      </c>
      <c r="B120" s="53"/>
      <c r="C120" s="53"/>
      <c r="D120" s="53"/>
      <c r="E120" s="53"/>
      <c r="F120" s="54"/>
      <c r="G120" s="55"/>
      <c r="H120" s="53"/>
      <c r="I120" s="53"/>
    </row>
    <row r="121" customFormat="false" ht="16.5" hidden="false" customHeight="true" outlineLevel="0" collapsed="false">
      <c r="A121" s="52" t="n">
        <v>31</v>
      </c>
      <c r="B121" s="53"/>
      <c r="C121" s="53"/>
      <c r="D121" s="53"/>
      <c r="E121" s="53"/>
      <c r="F121" s="54"/>
      <c r="G121" s="55"/>
      <c r="H121" s="53"/>
      <c r="I121" s="53"/>
    </row>
    <row r="122" customFormat="false" ht="16.5" hidden="false" customHeight="true" outlineLevel="0" collapsed="false">
      <c r="A122" s="52" t="n">
        <v>32</v>
      </c>
      <c r="B122" s="53"/>
      <c r="C122" s="53"/>
      <c r="D122" s="53"/>
      <c r="E122" s="53"/>
      <c r="F122" s="54"/>
      <c r="G122" s="55"/>
      <c r="H122" s="53"/>
      <c r="I122" s="53"/>
    </row>
    <row r="123" customFormat="false" ht="16.5" hidden="false" customHeight="true" outlineLevel="0" collapsed="false">
      <c r="A123" s="52" t="n">
        <v>33</v>
      </c>
      <c r="B123" s="53"/>
      <c r="C123" s="53"/>
      <c r="D123" s="53"/>
      <c r="E123" s="53"/>
      <c r="F123" s="54"/>
      <c r="G123" s="55"/>
      <c r="H123" s="53"/>
      <c r="I123" s="53"/>
    </row>
    <row r="124" customFormat="false" ht="16.5" hidden="false" customHeight="true" outlineLevel="0" collapsed="false">
      <c r="A124" s="52" t="n">
        <v>34</v>
      </c>
      <c r="B124" s="53"/>
      <c r="C124" s="53"/>
      <c r="D124" s="53"/>
      <c r="E124" s="53"/>
      <c r="F124" s="54"/>
      <c r="G124" s="55"/>
      <c r="H124" s="53"/>
      <c r="I124" s="53"/>
    </row>
    <row r="125" customFormat="false" ht="16.5" hidden="false" customHeight="true" outlineLevel="0" collapsed="false">
      <c r="A125" s="52" t="n">
        <v>35</v>
      </c>
      <c r="B125" s="53"/>
      <c r="C125" s="53"/>
      <c r="D125" s="53"/>
      <c r="E125" s="53"/>
      <c r="F125" s="54"/>
      <c r="G125" s="55"/>
      <c r="H125" s="53"/>
      <c r="I125" s="53"/>
    </row>
    <row r="126" customFormat="false" ht="15" hidden="false" customHeight="true" outlineLevel="0" collapsed="false">
      <c r="A126" s="56" t="s">
        <v>260</v>
      </c>
      <c r="B126" s="56"/>
      <c r="C126" s="56"/>
      <c r="D126" s="56"/>
      <c r="E126" s="56"/>
      <c r="F126" s="57" t="n">
        <f aca="false">IFERROR(SUM(F91:F125),0)</f>
        <v>0</v>
      </c>
    </row>
    <row r="127" customFormat="false" ht="19.5" hidden="false" customHeight="true" outlineLevel="0" collapsed="false">
      <c r="A127" s="32" t="s">
        <v>261</v>
      </c>
      <c r="B127" s="32"/>
      <c r="C127" s="32"/>
      <c r="D127" s="32"/>
      <c r="E127" s="32"/>
      <c r="F127" s="58"/>
      <c r="G127" s="58"/>
      <c r="H127" s="58"/>
      <c r="I127" s="58"/>
      <c r="J127" s="58"/>
      <c r="K127" s="58"/>
      <c r="L127" s="58"/>
      <c r="M127" s="58"/>
      <c r="N127" s="58"/>
    </row>
    <row r="128" customFormat="false" ht="31.5" hidden="false" customHeight="true" outlineLevel="0" collapsed="false">
      <c r="A128" s="51" t="s">
        <v>106</v>
      </c>
      <c r="B128" s="51" t="s">
        <v>262</v>
      </c>
      <c r="C128" s="51" t="s">
        <v>263</v>
      </c>
      <c r="D128" s="51" t="s">
        <v>264</v>
      </c>
      <c r="E128" s="51" t="s">
        <v>265</v>
      </c>
      <c r="F128" s="51" t="s">
        <v>266</v>
      </c>
      <c r="G128" s="51" t="s">
        <v>267</v>
      </c>
      <c r="H128" s="51" t="s">
        <v>268</v>
      </c>
      <c r="I128" s="51" t="s">
        <v>269</v>
      </c>
      <c r="J128" s="51" t="s">
        <v>270</v>
      </c>
      <c r="K128" s="51" t="s">
        <v>271</v>
      </c>
      <c r="L128" s="51" t="s">
        <v>272</v>
      </c>
      <c r="M128" s="51" t="s">
        <v>61</v>
      </c>
      <c r="N128" s="51" t="s">
        <v>273</v>
      </c>
    </row>
    <row r="129" customFormat="false" ht="16.5" hidden="false" customHeight="true" outlineLevel="0" collapsed="false">
      <c r="A129" s="52" t="n">
        <v>1</v>
      </c>
      <c r="B129" s="53"/>
      <c r="C129" s="53"/>
      <c r="D129" s="53"/>
      <c r="E129" s="59"/>
      <c r="F129" s="59"/>
      <c r="G129" s="60"/>
      <c r="H129" s="57" t="n">
        <f aca="false">IFERROR(E129*G129,"")</f>
        <v>0</v>
      </c>
      <c r="I129" s="53"/>
      <c r="J129" s="55"/>
      <c r="K129" s="55"/>
      <c r="L129" s="55"/>
      <c r="M129" s="53"/>
      <c r="N129" s="53"/>
    </row>
    <row r="130" customFormat="false" ht="16.5" hidden="false" customHeight="true" outlineLevel="0" collapsed="false">
      <c r="A130" s="52" t="n">
        <v>2</v>
      </c>
      <c r="B130" s="53"/>
      <c r="C130" s="53"/>
      <c r="D130" s="53"/>
      <c r="E130" s="59"/>
      <c r="F130" s="59"/>
      <c r="G130" s="60"/>
      <c r="H130" s="57" t="n">
        <f aca="false">IFERROR(E130*G130,"")</f>
        <v>0</v>
      </c>
      <c r="I130" s="53"/>
      <c r="J130" s="55"/>
      <c r="K130" s="55"/>
      <c r="L130" s="55"/>
      <c r="M130" s="53"/>
      <c r="N130" s="53"/>
    </row>
    <row r="131" customFormat="false" ht="16.5" hidden="false" customHeight="true" outlineLevel="0" collapsed="false">
      <c r="A131" s="52" t="n">
        <v>3</v>
      </c>
      <c r="B131" s="53"/>
      <c r="C131" s="53"/>
      <c r="D131" s="53"/>
      <c r="E131" s="59"/>
      <c r="F131" s="59"/>
      <c r="G131" s="60"/>
      <c r="H131" s="57" t="n">
        <f aca="false">IFERROR(E131*G131,"")</f>
        <v>0</v>
      </c>
      <c r="I131" s="53"/>
      <c r="J131" s="55"/>
      <c r="K131" s="55"/>
      <c r="L131" s="55"/>
      <c r="M131" s="53"/>
      <c r="N131" s="53"/>
    </row>
    <row r="132" customFormat="false" ht="16.5" hidden="false" customHeight="true" outlineLevel="0" collapsed="false">
      <c r="A132" s="52" t="n">
        <v>4</v>
      </c>
      <c r="B132" s="53"/>
      <c r="C132" s="53"/>
      <c r="D132" s="53"/>
      <c r="E132" s="59"/>
      <c r="F132" s="59"/>
      <c r="G132" s="60"/>
      <c r="H132" s="57" t="n">
        <f aca="false">IFERROR(E132*G132,"")</f>
        <v>0</v>
      </c>
      <c r="I132" s="53"/>
      <c r="J132" s="55"/>
      <c r="K132" s="55"/>
      <c r="L132" s="55"/>
      <c r="M132" s="53"/>
      <c r="N132" s="53"/>
    </row>
    <row r="133" customFormat="false" ht="16.5" hidden="false" customHeight="true" outlineLevel="0" collapsed="false">
      <c r="A133" s="52" t="n">
        <v>5</v>
      </c>
      <c r="B133" s="53"/>
      <c r="C133" s="53"/>
      <c r="D133" s="53"/>
      <c r="E133" s="59"/>
      <c r="F133" s="59"/>
      <c r="G133" s="60"/>
      <c r="H133" s="57" t="n">
        <f aca="false">IFERROR(E133*G133,"")</f>
        <v>0</v>
      </c>
      <c r="I133" s="53"/>
      <c r="J133" s="55"/>
      <c r="K133" s="55"/>
      <c r="L133" s="55"/>
      <c r="M133" s="53"/>
      <c r="N133" s="53"/>
    </row>
    <row r="134" customFormat="false" ht="16.5" hidden="false" customHeight="true" outlineLevel="0" collapsed="false">
      <c r="A134" s="52" t="n">
        <v>6</v>
      </c>
      <c r="B134" s="53"/>
      <c r="C134" s="53"/>
      <c r="D134" s="53"/>
      <c r="E134" s="59"/>
      <c r="F134" s="59"/>
      <c r="G134" s="60"/>
      <c r="H134" s="57" t="n">
        <f aca="false">IFERROR(E134*G134,"")</f>
        <v>0</v>
      </c>
      <c r="I134" s="53"/>
      <c r="J134" s="55"/>
      <c r="K134" s="55"/>
      <c r="L134" s="55"/>
      <c r="M134" s="53"/>
      <c r="N134" s="53"/>
    </row>
    <row r="135" customFormat="false" ht="16.5" hidden="false" customHeight="true" outlineLevel="0" collapsed="false">
      <c r="A135" s="52" t="n">
        <v>7</v>
      </c>
      <c r="B135" s="53"/>
      <c r="C135" s="53"/>
      <c r="D135" s="53"/>
      <c r="E135" s="59"/>
      <c r="F135" s="59"/>
      <c r="G135" s="60"/>
      <c r="H135" s="57" t="n">
        <f aca="false">IFERROR(E135*G135,"")</f>
        <v>0</v>
      </c>
      <c r="I135" s="53"/>
      <c r="J135" s="55"/>
      <c r="K135" s="55"/>
      <c r="L135" s="55"/>
      <c r="M135" s="53"/>
      <c r="N135" s="53"/>
    </row>
    <row r="136" customFormat="false" ht="16.5" hidden="false" customHeight="true" outlineLevel="0" collapsed="false">
      <c r="A136" s="52" t="n">
        <v>8</v>
      </c>
      <c r="B136" s="53"/>
      <c r="C136" s="53"/>
      <c r="D136" s="53"/>
      <c r="E136" s="59"/>
      <c r="F136" s="59"/>
      <c r="G136" s="60"/>
      <c r="H136" s="57" t="n">
        <f aca="false">IFERROR(E136*G136,"")</f>
        <v>0</v>
      </c>
      <c r="I136" s="53"/>
      <c r="J136" s="55"/>
      <c r="K136" s="55"/>
      <c r="L136" s="55"/>
      <c r="M136" s="53"/>
      <c r="N136" s="53"/>
    </row>
    <row r="137" customFormat="false" ht="16.5" hidden="false" customHeight="true" outlineLevel="0" collapsed="false">
      <c r="A137" s="52" t="n">
        <v>9</v>
      </c>
      <c r="B137" s="53"/>
      <c r="C137" s="53"/>
      <c r="D137" s="53"/>
      <c r="E137" s="59"/>
      <c r="F137" s="59"/>
      <c r="G137" s="60"/>
      <c r="H137" s="57" t="n">
        <f aca="false">IFERROR(E137*G137,"")</f>
        <v>0</v>
      </c>
      <c r="I137" s="53"/>
      <c r="J137" s="55"/>
      <c r="K137" s="55"/>
      <c r="L137" s="55"/>
      <c r="M137" s="53"/>
      <c r="N137" s="53"/>
    </row>
    <row r="138" customFormat="false" ht="16.5" hidden="false" customHeight="true" outlineLevel="0" collapsed="false">
      <c r="A138" s="52" t="n">
        <v>10</v>
      </c>
      <c r="B138" s="53"/>
      <c r="C138" s="53"/>
      <c r="D138" s="53"/>
      <c r="E138" s="59"/>
      <c r="F138" s="59"/>
      <c r="G138" s="60"/>
      <c r="H138" s="57" t="n">
        <f aca="false">IFERROR(E138*G138,"")</f>
        <v>0</v>
      </c>
      <c r="I138" s="53"/>
      <c r="J138" s="55"/>
      <c r="K138" s="55"/>
      <c r="L138" s="55"/>
      <c r="M138" s="53"/>
      <c r="N138" s="53"/>
    </row>
    <row r="139" customFormat="false" ht="16.5" hidden="false" customHeight="true" outlineLevel="0" collapsed="false">
      <c r="A139" s="52" t="n">
        <v>11</v>
      </c>
      <c r="B139" s="53"/>
      <c r="C139" s="53"/>
      <c r="D139" s="53"/>
      <c r="E139" s="59"/>
      <c r="F139" s="59"/>
      <c r="G139" s="60"/>
      <c r="H139" s="57" t="n">
        <f aca="false">IFERROR(E139*G139,"")</f>
        <v>0</v>
      </c>
      <c r="I139" s="53"/>
      <c r="J139" s="55"/>
      <c r="K139" s="55"/>
      <c r="L139" s="55"/>
      <c r="M139" s="53"/>
      <c r="N139" s="53"/>
    </row>
    <row r="140" customFormat="false" ht="16.5" hidden="false" customHeight="true" outlineLevel="0" collapsed="false">
      <c r="A140" s="52" t="n">
        <v>12</v>
      </c>
      <c r="B140" s="53"/>
      <c r="C140" s="53"/>
      <c r="D140" s="53"/>
      <c r="E140" s="59"/>
      <c r="F140" s="59"/>
      <c r="G140" s="60"/>
      <c r="H140" s="57" t="n">
        <f aca="false">IFERROR(E140*G140,"")</f>
        <v>0</v>
      </c>
      <c r="I140" s="53"/>
      <c r="J140" s="55"/>
      <c r="K140" s="55"/>
      <c r="L140" s="55"/>
      <c r="M140" s="53"/>
      <c r="N140" s="53"/>
    </row>
    <row r="141" customFormat="false" ht="16.5" hidden="false" customHeight="true" outlineLevel="0" collapsed="false">
      <c r="A141" s="52" t="n">
        <v>13</v>
      </c>
      <c r="B141" s="53"/>
      <c r="C141" s="53"/>
      <c r="D141" s="53"/>
      <c r="E141" s="59"/>
      <c r="F141" s="59"/>
      <c r="G141" s="60"/>
      <c r="H141" s="57" t="n">
        <f aca="false">IFERROR(E141*G141,"")</f>
        <v>0</v>
      </c>
      <c r="I141" s="53"/>
      <c r="J141" s="55"/>
      <c r="K141" s="55"/>
      <c r="L141" s="55"/>
      <c r="M141" s="53"/>
      <c r="N141" s="53"/>
    </row>
    <row r="142" customFormat="false" ht="16.5" hidden="false" customHeight="true" outlineLevel="0" collapsed="false">
      <c r="A142" s="52" t="n">
        <v>14</v>
      </c>
      <c r="B142" s="53"/>
      <c r="C142" s="53"/>
      <c r="D142" s="53"/>
      <c r="E142" s="59"/>
      <c r="F142" s="59"/>
      <c r="G142" s="60"/>
      <c r="H142" s="57" t="n">
        <f aca="false">IFERROR(E142*G142,"")</f>
        <v>0</v>
      </c>
      <c r="I142" s="53"/>
      <c r="J142" s="55"/>
      <c r="K142" s="55"/>
      <c r="L142" s="55"/>
      <c r="M142" s="53"/>
      <c r="N142" s="53"/>
    </row>
    <row r="143" customFormat="false" ht="16.5" hidden="false" customHeight="true" outlineLevel="0" collapsed="false">
      <c r="A143" s="52" t="n">
        <v>15</v>
      </c>
      <c r="B143" s="53"/>
      <c r="C143" s="53"/>
      <c r="D143" s="53"/>
      <c r="E143" s="59"/>
      <c r="F143" s="59"/>
      <c r="G143" s="60"/>
      <c r="H143" s="57" t="n">
        <f aca="false">IFERROR(E143*G143,"")</f>
        <v>0</v>
      </c>
      <c r="I143" s="53"/>
      <c r="J143" s="55"/>
      <c r="K143" s="55"/>
      <c r="L143" s="55"/>
      <c r="M143" s="53"/>
      <c r="N143" s="53"/>
    </row>
    <row r="144" customFormat="false" ht="16.5" hidden="false" customHeight="true" outlineLevel="0" collapsed="false">
      <c r="A144" s="52" t="n">
        <v>16</v>
      </c>
      <c r="B144" s="53"/>
      <c r="C144" s="53"/>
      <c r="D144" s="53"/>
      <c r="E144" s="59"/>
      <c r="F144" s="59"/>
      <c r="G144" s="60"/>
      <c r="H144" s="57" t="n">
        <f aca="false">IFERROR(E144*G144,"")</f>
        <v>0</v>
      </c>
      <c r="I144" s="53"/>
      <c r="J144" s="55"/>
      <c r="K144" s="55"/>
      <c r="L144" s="55"/>
      <c r="M144" s="53"/>
      <c r="N144" s="53"/>
    </row>
    <row r="145" customFormat="false" ht="16.5" hidden="false" customHeight="true" outlineLevel="0" collapsed="false">
      <c r="A145" s="52" t="n">
        <v>17</v>
      </c>
      <c r="B145" s="53"/>
      <c r="C145" s="53"/>
      <c r="D145" s="53"/>
      <c r="E145" s="59"/>
      <c r="F145" s="59"/>
      <c r="G145" s="60"/>
      <c r="H145" s="57" t="n">
        <f aca="false">IFERROR(E145*G145,"")</f>
        <v>0</v>
      </c>
      <c r="I145" s="53"/>
      <c r="J145" s="55"/>
      <c r="K145" s="55"/>
      <c r="L145" s="55"/>
      <c r="M145" s="53"/>
      <c r="N145" s="53"/>
    </row>
    <row r="146" customFormat="false" ht="16.5" hidden="false" customHeight="true" outlineLevel="0" collapsed="false">
      <c r="A146" s="52" t="n">
        <v>18</v>
      </c>
      <c r="B146" s="53"/>
      <c r="C146" s="53"/>
      <c r="D146" s="53"/>
      <c r="E146" s="59"/>
      <c r="F146" s="59"/>
      <c r="G146" s="60"/>
      <c r="H146" s="57" t="n">
        <f aca="false">IFERROR(E146*G146,"")</f>
        <v>0</v>
      </c>
      <c r="I146" s="53"/>
      <c r="J146" s="55"/>
      <c r="K146" s="55"/>
      <c r="L146" s="55"/>
      <c r="M146" s="53"/>
      <c r="N146" s="53"/>
    </row>
    <row r="147" customFormat="false" ht="16.5" hidden="false" customHeight="true" outlineLevel="0" collapsed="false">
      <c r="A147" s="52" t="n">
        <v>19</v>
      </c>
      <c r="B147" s="53"/>
      <c r="C147" s="53"/>
      <c r="D147" s="53"/>
      <c r="E147" s="59"/>
      <c r="F147" s="59"/>
      <c r="G147" s="60"/>
      <c r="H147" s="57" t="n">
        <f aca="false">IFERROR(E147*G147,"")</f>
        <v>0</v>
      </c>
      <c r="I147" s="53"/>
      <c r="J147" s="55"/>
      <c r="K147" s="55"/>
      <c r="L147" s="55"/>
      <c r="M147" s="53"/>
      <c r="N147" s="53"/>
    </row>
    <row r="148" customFormat="false" ht="16.5" hidden="false" customHeight="true" outlineLevel="0" collapsed="false">
      <c r="A148" s="52" t="n">
        <v>20</v>
      </c>
      <c r="B148" s="53"/>
      <c r="C148" s="53"/>
      <c r="D148" s="53"/>
      <c r="E148" s="59"/>
      <c r="F148" s="59"/>
      <c r="G148" s="60"/>
      <c r="H148" s="57" t="n">
        <f aca="false">IFERROR(E148*G148,"")</f>
        <v>0</v>
      </c>
      <c r="I148" s="53"/>
      <c r="J148" s="55"/>
      <c r="K148" s="55"/>
      <c r="L148" s="55"/>
      <c r="M148" s="53"/>
      <c r="N148" s="53"/>
    </row>
    <row r="149" customFormat="false" ht="16.5" hidden="false" customHeight="true" outlineLevel="0" collapsed="false">
      <c r="A149" s="52" t="n">
        <v>21</v>
      </c>
      <c r="B149" s="53"/>
      <c r="C149" s="53"/>
      <c r="D149" s="53"/>
      <c r="E149" s="59"/>
      <c r="F149" s="59"/>
      <c r="G149" s="60"/>
      <c r="H149" s="57" t="n">
        <f aca="false">IFERROR(E149*G149,"")</f>
        <v>0</v>
      </c>
      <c r="I149" s="53"/>
      <c r="J149" s="55"/>
      <c r="K149" s="55"/>
      <c r="L149" s="55"/>
      <c r="M149" s="53"/>
      <c r="N149" s="53"/>
    </row>
    <row r="150" customFormat="false" ht="16.5" hidden="false" customHeight="true" outlineLevel="0" collapsed="false">
      <c r="A150" s="52" t="n">
        <v>22</v>
      </c>
      <c r="B150" s="53"/>
      <c r="C150" s="53"/>
      <c r="D150" s="53"/>
      <c r="E150" s="59"/>
      <c r="F150" s="59"/>
      <c r="G150" s="60"/>
      <c r="H150" s="57" t="n">
        <f aca="false">IFERROR(E150*G150,"")</f>
        <v>0</v>
      </c>
      <c r="I150" s="53"/>
      <c r="J150" s="55"/>
      <c r="K150" s="55"/>
      <c r="L150" s="55"/>
      <c r="M150" s="53"/>
      <c r="N150" s="53"/>
    </row>
    <row r="151" customFormat="false" ht="16.5" hidden="false" customHeight="true" outlineLevel="0" collapsed="false">
      <c r="A151" s="52" t="n">
        <v>23</v>
      </c>
      <c r="B151" s="53"/>
      <c r="C151" s="53"/>
      <c r="D151" s="53"/>
      <c r="E151" s="59"/>
      <c r="F151" s="59"/>
      <c r="G151" s="60"/>
      <c r="H151" s="57" t="n">
        <f aca="false">IFERROR(E151*G151,"")</f>
        <v>0</v>
      </c>
      <c r="I151" s="53"/>
      <c r="J151" s="55"/>
      <c r="K151" s="55"/>
      <c r="L151" s="55"/>
      <c r="M151" s="53"/>
      <c r="N151" s="53"/>
    </row>
    <row r="152" customFormat="false" ht="16.5" hidden="false" customHeight="true" outlineLevel="0" collapsed="false">
      <c r="A152" s="52" t="n">
        <v>24</v>
      </c>
      <c r="B152" s="53"/>
      <c r="C152" s="53"/>
      <c r="D152" s="53"/>
      <c r="E152" s="59"/>
      <c r="F152" s="59"/>
      <c r="G152" s="60"/>
      <c r="H152" s="57" t="n">
        <f aca="false">IFERROR(E152*G152,"")</f>
        <v>0</v>
      </c>
      <c r="I152" s="53"/>
      <c r="J152" s="55"/>
      <c r="K152" s="55"/>
      <c r="L152" s="55"/>
      <c r="M152" s="53"/>
      <c r="N152" s="53"/>
    </row>
    <row r="153" customFormat="false" ht="16.5" hidden="false" customHeight="true" outlineLevel="0" collapsed="false">
      <c r="A153" s="52" t="n">
        <v>25</v>
      </c>
      <c r="B153" s="53"/>
      <c r="C153" s="53"/>
      <c r="D153" s="53"/>
      <c r="E153" s="59"/>
      <c r="F153" s="59"/>
      <c r="G153" s="60"/>
      <c r="H153" s="57" t="n">
        <f aca="false">IFERROR(E153*G153,"")</f>
        <v>0</v>
      </c>
      <c r="I153" s="53"/>
      <c r="J153" s="55"/>
      <c r="K153" s="55"/>
      <c r="L153" s="55"/>
      <c r="M153" s="53"/>
      <c r="N153" s="53"/>
    </row>
    <row r="154" customFormat="false" ht="16.5" hidden="false" customHeight="true" outlineLevel="0" collapsed="false">
      <c r="A154" s="52" t="n">
        <v>26</v>
      </c>
      <c r="B154" s="53"/>
      <c r="C154" s="53"/>
      <c r="D154" s="53"/>
      <c r="E154" s="59"/>
      <c r="F154" s="59"/>
      <c r="G154" s="60"/>
      <c r="H154" s="57" t="n">
        <f aca="false">IFERROR(E154*G154,"")</f>
        <v>0</v>
      </c>
      <c r="I154" s="53"/>
      <c r="J154" s="55"/>
      <c r="K154" s="55"/>
      <c r="L154" s="55"/>
      <c r="M154" s="53"/>
      <c r="N154" s="53"/>
    </row>
    <row r="155" customFormat="false" ht="16.5" hidden="false" customHeight="true" outlineLevel="0" collapsed="false">
      <c r="A155" s="52" t="n">
        <v>27</v>
      </c>
      <c r="B155" s="53"/>
      <c r="C155" s="53"/>
      <c r="D155" s="53"/>
      <c r="E155" s="59"/>
      <c r="F155" s="59"/>
      <c r="G155" s="60"/>
      <c r="H155" s="57" t="n">
        <f aca="false">IFERROR(E155*G155,"")</f>
        <v>0</v>
      </c>
      <c r="I155" s="53"/>
      <c r="J155" s="55"/>
      <c r="K155" s="55"/>
      <c r="L155" s="55"/>
      <c r="M155" s="53"/>
      <c r="N155" s="53"/>
    </row>
    <row r="156" customFormat="false" ht="16.5" hidden="false" customHeight="true" outlineLevel="0" collapsed="false">
      <c r="A156" s="52" t="n">
        <v>28</v>
      </c>
      <c r="B156" s="53"/>
      <c r="C156" s="53"/>
      <c r="D156" s="53"/>
      <c r="E156" s="59"/>
      <c r="F156" s="59"/>
      <c r="G156" s="60"/>
      <c r="H156" s="57" t="n">
        <f aca="false">IFERROR(E156*G156,"")</f>
        <v>0</v>
      </c>
      <c r="I156" s="53"/>
      <c r="J156" s="55"/>
      <c r="K156" s="55"/>
      <c r="L156" s="55"/>
      <c r="M156" s="53"/>
      <c r="N156" s="53"/>
    </row>
    <row r="157" customFormat="false" ht="16.5" hidden="false" customHeight="true" outlineLevel="0" collapsed="false">
      <c r="A157" s="52" t="n">
        <v>29</v>
      </c>
      <c r="B157" s="53"/>
      <c r="C157" s="53"/>
      <c r="D157" s="53"/>
      <c r="E157" s="59"/>
      <c r="F157" s="59"/>
      <c r="G157" s="60"/>
      <c r="H157" s="57" t="n">
        <f aca="false">IFERROR(E157*G157,"")</f>
        <v>0</v>
      </c>
      <c r="I157" s="53"/>
      <c r="J157" s="55"/>
      <c r="K157" s="55"/>
      <c r="L157" s="55"/>
      <c r="M157" s="53"/>
      <c r="N157" s="53"/>
    </row>
    <row r="158" customFormat="false" ht="16.5" hidden="false" customHeight="true" outlineLevel="0" collapsed="false">
      <c r="A158" s="52" t="n">
        <v>30</v>
      </c>
      <c r="B158" s="53"/>
      <c r="C158" s="53"/>
      <c r="D158" s="53"/>
      <c r="E158" s="59"/>
      <c r="F158" s="59"/>
      <c r="G158" s="60"/>
      <c r="H158" s="57" t="n">
        <f aca="false">IFERROR(E158*G158,"")</f>
        <v>0</v>
      </c>
      <c r="I158" s="53"/>
      <c r="J158" s="55"/>
      <c r="K158" s="55"/>
      <c r="L158" s="55"/>
      <c r="M158" s="53"/>
      <c r="N158" s="53"/>
    </row>
    <row r="159" customFormat="false" ht="16.5" hidden="false" customHeight="true" outlineLevel="0" collapsed="false">
      <c r="A159" s="52" t="n">
        <v>31</v>
      </c>
      <c r="B159" s="53"/>
      <c r="C159" s="53"/>
      <c r="D159" s="53"/>
      <c r="E159" s="59"/>
      <c r="F159" s="59"/>
      <c r="G159" s="60"/>
      <c r="H159" s="57" t="n">
        <f aca="false">IFERROR(E159*G159,"")</f>
        <v>0</v>
      </c>
      <c r="I159" s="53"/>
      <c r="J159" s="55"/>
      <c r="K159" s="55"/>
      <c r="L159" s="55"/>
      <c r="M159" s="53"/>
      <c r="N159" s="53"/>
    </row>
    <row r="160" customFormat="false" ht="16.5" hidden="false" customHeight="true" outlineLevel="0" collapsed="false">
      <c r="A160" s="52" t="n">
        <v>32</v>
      </c>
      <c r="B160" s="53"/>
      <c r="C160" s="53"/>
      <c r="D160" s="53"/>
      <c r="E160" s="59"/>
      <c r="F160" s="59"/>
      <c r="G160" s="60"/>
      <c r="H160" s="57" t="n">
        <f aca="false">IFERROR(E160*G160,"")</f>
        <v>0</v>
      </c>
      <c r="I160" s="53"/>
      <c r="J160" s="55"/>
      <c r="K160" s="55"/>
      <c r="L160" s="55"/>
      <c r="M160" s="53"/>
      <c r="N160" s="53"/>
    </row>
    <row r="161" customFormat="false" ht="16.5" hidden="false" customHeight="true" outlineLevel="0" collapsed="false">
      <c r="A161" s="52" t="n">
        <v>33</v>
      </c>
      <c r="B161" s="53"/>
      <c r="C161" s="53"/>
      <c r="D161" s="53"/>
      <c r="E161" s="59"/>
      <c r="F161" s="59"/>
      <c r="G161" s="60"/>
      <c r="H161" s="57" t="n">
        <f aca="false">IFERROR(E161*G161,"")</f>
        <v>0</v>
      </c>
      <c r="I161" s="53"/>
      <c r="J161" s="55"/>
      <c r="K161" s="55"/>
      <c r="L161" s="55"/>
      <c r="M161" s="53"/>
      <c r="N161" s="53"/>
    </row>
    <row r="162" customFormat="false" ht="16.5" hidden="false" customHeight="true" outlineLevel="0" collapsed="false">
      <c r="A162" s="52" t="n">
        <v>34</v>
      </c>
      <c r="B162" s="53"/>
      <c r="C162" s="53"/>
      <c r="D162" s="53"/>
      <c r="E162" s="59"/>
      <c r="F162" s="59"/>
      <c r="G162" s="60"/>
      <c r="H162" s="57" t="n">
        <f aca="false">IFERROR(E162*G162,"")</f>
        <v>0</v>
      </c>
      <c r="I162" s="53"/>
      <c r="J162" s="55"/>
      <c r="K162" s="55"/>
      <c r="L162" s="55"/>
      <c r="M162" s="53"/>
      <c r="N162" s="53"/>
    </row>
    <row r="163" customFormat="false" ht="16.5" hidden="false" customHeight="true" outlineLevel="0" collapsed="false">
      <c r="A163" s="52" t="n">
        <v>35</v>
      </c>
      <c r="B163" s="53"/>
      <c r="C163" s="53"/>
      <c r="D163" s="53"/>
      <c r="E163" s="59"/>
      <c r="F163" s="59"/>
      <c r="G163" s="60"/>
      <c r="H163" s="57" t="n">
        <f aca="false">IFERROR(E163*G163,"")</f>
        <v>0</v>
      </c>
      <c r="I163" s="53"/>
      <c r="J163" s="55"/>
      <c r="K163" s="55"/>
      <c r="L163" s="55"/>
      <c r="M163" s="53"/>
      <c r="N163" s="53"/>
    </row>
    <row r="164" customFormat="false" ht="16.5" hidden="false" customHeight="true" outlineLevel="0" collapsed="false">
      <c r="A164" s="52" t="n">
        <v>36</v>
      </c>
      <c r="B164" s="53"/>
      <c r="C164" s="53"/>
      <c r="D164" s="53"/>
      <c r="E164" s="59"/>
      <c r="F164" s="59"/>
      <c r="G164" s="60"/>
      <c r="H164" s="57" t="n">
        <f aca="false">IFERROR(E164*G164,"")</f>
        <v>0</v>
      </c>
      <c r="I164" s="53"/>
      <c r="J164" s="55"/>
      <c r="K164" s="55"/>
      <c r="L164" s="55"/>
      <c r="M164" s="53"/>
      <c r="N164" s="53"/>
    </row>
    <row r="165" customFormat="false" ht="16.5" hidden="false" customHeight="true" outlineLevel="0" collapsed="false">
      <c r="A165" s="52" t="n">
        <v>37</v>
      </c>
      <c r="B165" s="53"/>
      <c r="C165" s="53"/>
      <c r="D165" s="53"/>
      <c r="E165" s="59"/>
      <c r="F165" s="59"/>
      <c r="G165" s="60"/>
      <c r="H165" s="57" t="n">
        <f aca="false">IFERROR(E165*G165,"")</f>
        <v>0</v>
      </c>
      <c r="I165" s="53"/>
      <c r="J165" s="55"/>
      <c r="K165" s="55"/>
      <c r="L165" s="55"/>
      <c r="M165" s="53"/>
      <c r="N165" s="53"/>
    </row>
    <row r="166" customFormat="false" ht="16.5" hidden="false" customHeight="true" outlineLevel="0" collapsed="false">
      <c r="A166" s="52" t="n">
        <v>38</v>
      </c>
      <c r="B166" s="53"/>
      <c r="C166" s="53"/>
      <c r="D166" s="53"/>
      <c r="E166" s="59"/>
      <c r="F166" s="59"/>
      <c r="G166" s="60"/>
      <c r="H166" s="57" t="n">
        <f aca="false">IFERROR(E166*G166,"")</f>
        <v>0</v>
      </c>
      <c r="I166" s="53"/>
      <c r="J166" s="55"/>
      <c r="K166" s="55"/>
      <c r="L166" s="55"/>
      <c r="M166" s="53"/>
      <c r="N166" s="53"/>
    </row>
    <row r="167" customFormat="false" ht="16.5" hidden="false" customHeight="true" outlineLevel="0" collapsed="false">
      <c r="A167" s="52" t="n">
        <v>39</v>
      </c>
      <c r="B167" s="53"/>
      <c r="C167" s="53"/>
      <c r="D167" s="53"/>
      <c r="E167" s="59"/>
      <c r="F167" s="59"/>
      <c r="G167" s="60"/>
      <c r="H167" s="57" t="n">
        <f aca="false">IFERROR(E167*G167,"")</f>
        <v>0</v>
      </c>
      <c r="I167" s="53"/>
      <c r="J167" s="55"/>
      <c r="K167" s="55"/>
      <c r="L167" s="55"/>
      <c r="M167" s="53"/>
      <c r="N167" s="53"/>
    </row>
    <row r="168" customFormat="false" ht="16.5" hidden="false" customHeight="true" outlineLevel="0" collapsed="false">
      <c r="A168" s="52" t="n">
        <v>40</v>
      </c>
      <c r="B168" s="53"/>
      <c r="C168" s="53"/>
      <c r="D168" s="53"/>
      <c r="E168" s="59"/>
      <c r="F168" s="59"/>
      <c r="G168" s="60"/>
      <c r="H168" s="57" t="n">
        <f aca="false">IFERROR(E168*G168,"")</f>
        <v>0</v>
      </c>
      <c r="I168" s="53"/>
      <c r="J168" s="55"/>
      <c r="K168" s="55"/>
      <c r="L168" s="55"/>
      <c r="M168" s="53"/>
      <c r="N168" s="53"/>
    </row>
    <row r="169" customFormat="false" ht="16.5" hidden="false" customHeight="true" outlineLevel="0" collapsed="false">
      <c r="A169" s="52" t="n">
        <v>41</v>
      </c>
      <c r="B169" s="53"/>
      <c r="C169" s="53"/>
      <c r="D169" s="53"/>
      <c r="E169" s="59"/>
      <c r="F169" s="59"/>
      <c r="G169" s="60"/>
      <c r="H169" s="57" t="n">
        <f aca="false">IFERROR(E169*G169,"")</f>
        <v>0</v>
      </c>
      <c r="I169" s="53"/>
      <c r="J169" s="55"/>
      <c r="K169" s="55"/>
      <c r="L169" s="55"/>
      <c r="M169" s="53"/>
      <c r="N169" s="53"/>
    </row>
    <row r="170" customFormat="false" ht="16.5" hidden="false" customHeight="true" outlineLevel="0" collapsed="false">
      <c r="A170" s="52" t="n">
        <v>42</v>
      </c>
      <c r="B170" s="53"/>
      <c r="C170" s="53"/>
      <c r="D170" s="53"/>
      <c r="E170" s="59"/>
      <c r="F170" s="59"/>
      <c r="G170" s="60"/>
      <c r="H170" s="57" t="n">
        <f aca="false">IFERROR(E170*G170,"")</f>
        <v>0</v>
      </c>
      <c r="I170" s="53"/>
      <c r="J170" s="55"/>
      <c r="K170" s="55"/>
      <c r="L170" s="55"/>
      <c r="M170" s="53"/>
      <c r="N170" s="53"/>
    </row>
    <row r="171" customFormat="false" ht="16.5" hidden="false" customHeight="true" outlineLevel="0" collapsed="false">
      <c r="A171" s="52" t="n">
        <v>43</v>
      </c>
      <c r="B171" s="53"/>
      <c r="C171" s="53"/>
      <c r="D171" s="53"/>
      <c r="E171" s="59"/>
      <c r="F171" s="59"/>
      <c r="G171" s="60"/>
      <c r="H171" s="57" t="n">
        <f aca="false">IFERROR(E171*G171,"")</f>
        <v>0</v>
      </c>
      <c r="I171" s="53"/>
      <c r="J171" s="55"/>
      <c r="K171" s="55"/>
      <c r="L171" s="55"/>
      <c r="M171" s="53"/>
      <c r="N171" s="53"/>
    </row>
    <row r="172" customFormat="false" ht="16.5" hidden="false" customHeight="true" outlineLevel="0" collapsed="false">
      <c r="A172" s="52" t="n">
        <v>44</v>
      </c>
      <c r="B172" s="53"/>
      <c r="C172" s="53"/>
      <c r="D172" s="53"/>
      <c r="E172" s="59"/>
      <c r="F172" s="59"/>
      <c r="G172" s="60"/>
      <c r="H172" s="57" t="n">
        <f aca="false">IFERROR(E172*G172,"")</f>
        <v>0</v>
      </c>
      <c r="I172" s="53"/>
      <c r="J172" s="55"/>
      <c r="K172" s="55"/>
      <c r="L172" s="55"/>
      <c r="M172" s="53"/>
      <c r="N172" s="53"/>
    </row>
    <row r="173" customFormat="false" ht="16.5" hidden="false" customHeight="true" outlineLevel="0" collapsed="false">
      <c r="A173" s="52" t="n">
        <v>45</v>
      </c>
      <c r="B173" s="53"/>
      <c r="C173" s="53"/>
      <c r="D173" s="53"/>
      <c r="E173" s="59"/>
      <c r="F173" s="59"/>
      <c r="G173" s="60"/>
      <c r="H173" s="57" t="n">
        <f aca="false">IFERROR(E173*G173,"")</f>
        <v>0</v>
      </c>
      <c r="I173" s="53"/>
      <c r="J173" s="55"/>
      <c r="K173" s="55"/>
      <c r="L173" s="55"/>
      <c r="M173" s="53"/>
      <c r="N173" s="53"/>
    </row>
    <row r="174" customFormat="false" ht="16.5" hidden="false" customHeight="true" outlineLevel="0" collapsed="false">
      <c r="A174" s="52" t="n">
        <v>46</v>
      </c>
      <c r="B174" s="53"/>
      <c r="C174" s="53"/>
      <c r="D174" s="53"/>
      <c r="E174" s="59"/>
      <c r="F174" s="59"/>
      <c r="G174" s="60"/>
      <c r="H174" s="57" t="n">
        <f aca="false">IFERROR(E174*G174,"")</f>
        <v>0</v>
      </c>
      <c r="I174" s="53"/>
      <c r="J174" s="55"/>
      <c r="K174" s="55"/>
      <c r="L174" s="55"/>
      <c r="M174" s="53"/>
      <c r="N174" s="53"/>
    </row>
    <row r="175" customFormat="false" ht="16.5" hidden="false" customHeight="true" outlineLevel="0" collapsed="false">
      <c r="A175" s="52" t="n">
        <v>47</v>
      </c>
      <c r="B175" s="53"/>
      <c r="C175" s="53"/>
      <c r="D175" s="53"/>
      <c r="E175" s="59"/>
      <c r="F175" s="59"/>
      <c r="G175" s="60"/>
      <c r="H175" s="57" t="n">
        <f aca="false">IFERROR(E175*G175,"")</f>
        <v>0</v>
      </c>
      <c r="I175" s="53"/>
      <c r="J175" s="55"/>
      <c r="K175" s="55"/>
      <c r="L175" s="55"/>
      <c r="M175" s="53"/>
      <c r="N175" s="53"/>
    </row>
    <row r="176" customFormat="false" ht="16.5" hidden="false" customHeight="true" outlineLevel="0" collapsed="false">
      <c r="A176" s="52" t="n">
        <v>48</v>
      </c>
      <c r="B176" s="53"/>
      <c r="C176" s="53"/>
      <c r="D176" s="53"/>
      <c r="E176" s="59"/>
      <c r="F176" s="59"/>
      <c r="G176" s="60"/>
      <c r="H176" s="57" t="n">
        <f aca="false">IFERROR(E176*G176,"")</f>
        <v>0</v>
      </c>
      <c r="I176" s="53"/>
      <c r="J176" s="55"/>
      <c r="K176" s="55"/>
      <c r="L176" s="55"/>
      <c r="M176" s="53"/>
      <c r="N176" s="53"/>
    </row>
    <row r="177" customFormat="false" ht="16.5" hidden="false" customHeight="true" outlineLevel="0" collapsed="false">
      <c r="A177" s="52" t="n">
        <v>49</v>
      </c>
      <c r="B177" s="53"/>
      <c r="C177" s="53"/>
      <c r="D177" s="53"/>
      <c r="E177" s="59"/>
      <c r="F177" s="59"/>
      <c r="G177" s="60"/>
      <c r="H177" s="57" t="n">
        <f aca="false">IFERROR(E177*G177,"")</f>
        <v>0</v>
      </c>
      <c r="I177" s="53"/>
      <c r="J177" s="55"/>
      <c r="K177" s="55"/>
      <c r="L177" s="55"/>
      <c r="M177" s="53"/>
      <c r="N177" s="53"/>
    </row>
    <row r="178" customFormat="false" ht="16.5" hidden="false" customHeight="true" outlineLevel="0" collapsed="false">
      <c r="A178" s="52" t="n">
        <v>50</v>
      </c>
      <c r="B178" s="53"/>
      <c r="C178" s="53"/>
      <c r="D178" s="53"/>
      <c r="E178" s="59"/>
      <c r="F178" s="59"/>
      <c r="G178" s="60"/>
      <c r="H178" s="57" t="n">
        <f aca="false">IFERROR(E178*G178,"")</f>
        <v>0</v>
      </c>
      <c r="I178" s="53"/>
      <c r="J178" s="55"/>
      <c r="K178" s="55"/>
      <c r="L178" s="55"/>
      <c r="M178" s="53"/>
      <c r="N178" s="53"/>
    </row>
    <row r="179" customFormat="false" ht="15" hidden="false" customHeight="true" outlineLevel="0" collapsed="false">
      <c r="A179" s="56" t="s">
        <v>260</v>
      </c>
      <c r="B179" s="56"/>
      <c r="C179" s="56"/>
      <c r="D179" s="56"/>
      <c r="E179" s="61" t="n">
        <f aca="false">IFERROR(SUM(E129:E178),0)</f>
        <v>0</v>
      </c>
      <c r="F179" s="61" t="n">
        <f aca="false">IFERROR(SUM(F129:F178),0)</f>
        <v>0</v>
      </c>
      <c r="G179" s="62" t="s">
        <v>298</v>
      </c>
      <c r="H179" s="57" t="n">
        <f aca="false">IFERROR(SUM(H129:H178),0)</f>
        <v>0</v>
      </c>
    </row>
    <row r="180" customFormat="false" ht="19.5" hidden="false" customHeight="true" outlineLevel="0" collapsed="false">
      <c r="A180" s="27" t="s">
        <v>299</v>
      </c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</row>
  </sheetData>
  <mergeCells count="16">
    <mergeCell ref="A1:D1"/>
    <mergeCell ref="A2:D2"/>
    <mergeCell ref="A5:D5"/>
    <mergeCell ref="A24:D24"/>
    <mergeCell ref="A34:D34"/>
    <mergeCell ref="A43:D43"/>
    <mergeCell ref="A54:D54"/>
    <mergeCell ref="A68:D68"/>
    <mergeCell ref="A74:D74"/>
    <mergeCell ref="A85:D85"/>
    <mergeCell ref="A86:D86"/>
    <mergeCell ref="A89:I89"/>
    <mergeCell ref="A126:E126"/>
    <mergeCell ref="A127:E127"/>
    <mergeCell ref="A179:D179"/>
    <mergeCell ref="A180:N180"/>
  </mergeCells>
  <dataValidations count="181">
    <dataValidation allowBlank="true" error="Select a valid option from the list." errorStyle="stop" errorTitle="Invalid Input" operator="between" showDropDown="false" showErrorMessage="true" showInputMessage="false" sqref="B6" type="list">
      <formula1>"On Track,At Risk,Delayed,Not Started,Completed"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70" type="list">
      <formula1>"Low,Medium,High,Critical"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71" type="list">
      <formula1>"Green,Amber,Red"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76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77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78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79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80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81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82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83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1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1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2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2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3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3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4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4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5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5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6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6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7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7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8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8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9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9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0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0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1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1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2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2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3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3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4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4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5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5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6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6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7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7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8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8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9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9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0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0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1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1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2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2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3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3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4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4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5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5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6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6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7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7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8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8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9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9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20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20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21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21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22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22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23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23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24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24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25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25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29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29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0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0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1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1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2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2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3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3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4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4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5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5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6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6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7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7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8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8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9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9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0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0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1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1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2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2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3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3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4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4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5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5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6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6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7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7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8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8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9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9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0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0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1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1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2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2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3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3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4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4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5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5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6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6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7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7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8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8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9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9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0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0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1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1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2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2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3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3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4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4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5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5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6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6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7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7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8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8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9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9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0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0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1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1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2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2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3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3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4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4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5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5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6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6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7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7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8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8" type="list">
      <formula1>"Pending,Confirmed,In Production,Shipped,Delivered,On Hold,Cancelled"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4"/>
    <col collapsed="false" customWidth="true" hidden="false" outlineLevel="0" max="3" min="3" style="1" width="10"/>
    <col collapsed="false" customWidth="true" hidden="false" outlineLevel="0" max="4" min="4" style="1" width="38"/>
    <col collapsed="false" customWidth="true" hidden="false" outlineLevel="0" max="5" min="5" style="1" width="20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8"/>
    <col collapsed="false" customWidth="true" hidden="false" outlineLevel="0" max="9" min="9" style="1" width="20"/>
    <col collapsed="false" customWidth="true" hidden="false" outlineLevel="0" max="10" min="10" style="1" width="13"/>
    <col collapsed="false" customWidth="true" hidden="false" outlineLevel="0" max="12" min="11" style="1" width="14"/>
    <col collapsed="false" customWidth="true" hidden="false" outlineLevel="0" max="13" min="13" style="1" width="16"/>
    <col collapsed="false" customWidth="true" hidden="false" outlineLevel="0" max="14" min="14" style="1" width="26"/>
  </cols>
  <sheetData>
    <row r="1" customFormat="false" ht="21.75" hidden="false" customHeight="true" outlineLevel="0" collapsed="false">
      <c r="A1" s="2" t="s">
        <v>346</v>
      </c>
      <c r="B1" s="2"/>
      <c r="C1" s="2"/>
      <c r="D1" s="2"/>
    </row>
    <row r="2" customFormat="false" ht="16.5" hidden="false" customHeight="true" outlineLevel="0" collapsed="false">
      <c r="A2" s="3" t="s">
        <v>87</v>
      </c>
      <c r="B2" s="3"/>
      <c r="C2" s="3"/>
      <c r="D2" s="3"/>
    </row>
    <row r="3" customFormat="false" ht="16.5" hidden="false" customHeight="true" outlineLevel="0" collapsed="false">
      <c r="A3" s="28" t="s">
        <v>88</v>
      </c>
      <c r="B3" s="29"/>
      <c r="C3" s="30" t="s">
        <v>89</v>
      </c>
      <c r="D3" s="31"/>
    </row>
    <row r="4" customFormat="false" ht="4.5" hidden="false" customHeight="true" outlineLevel="0" collapsed="false"/>
    <row r="5" customFormat="false" ht="19.5" hidden="false" customHeight="true" outlineLevel="0" collapsed="false">
      <c r="A5" s="32" t="s">
        <v>90</v>
      </c>
      <c r="B5" s="32"/>
      <c r="C5" s="32"/>
      <c r="D5" s="32"/>
    </row>
    <row r="6" customFormat="false" ht="18" hidden="false" customHeight="true" outlineLevel="0" collapsed="false">
      <c r="A6" s="33" t="s">
        <v>91</v>
      </c>
      <c r="B6" s="34"/>
      <c r="C6" s="35"/>
      <c r="D6" s="36" t="s">
        <v>93</v>
      </c>
    </row>
    <row r="7" customFormat="false" ht="18" hidden="false" customHeight="true" outlineLevel="0" collapsed="false">
      <c r="A7" s="37" t="s">
        <v>94</v>
      </c>
      <c r="B7" s="38"/>
      <c r="C7" s="35" t="s">
        <v>95</v>
      </c>
      <c r="D7" s="36" t="s">
        <v>96</v>
      </c>
    </row>
    <row r="8" customFormat="false" ht="18" hidden="false" customHeight="true" outlineLevel="0" collapsed="false">
      <c r="A8" s="33" t="s">
        <v>97</v>
      </c>
      <c r="B8" s="39" t="n">
        <f aca="false">IFERROR(SUMIF(H91:H125,"Spent",F91:F125),0)</f>
        <v>0</v>
      </c>
      <c r="C8" s="35" t="s">
        <v>95</v>
      </c>
      <c r="D8" s="36" t="s">
        <v>98</v>
      </c>
    </row>
    <row r="9" customFormat="false" ht="18" hidden="false" customHeight="true" outlineLevel="0" collapsed="false">
      <c r="A9" s="37" t="s">
        <v>99</v>
      </c>
      <c r="B9" s="39" t="n">
        <f aca="false">IFERROR(SUMIF(H91:H125,"Committed",F91:F125),0)</f>
        <v>0</v>
      </c>
      <c r="C9" s="35" t="s">
        <v>95</v>
      </c>
      <c r="D9" s="36" t="s">
        <v>98</v>
      </c>
    </row>
    <row r="10" customFormat="false" ht="18" hidden="false" customHeight="true" outlineLevel="0" collapsed="false">
      <c r="A10" s="33" t="s">
        <v>100</v>
      </c>
      <c r="B10" s="40" t="n">
        <f aca="false">IFERROR(B7-B8-B9,"")</f>
        <v>0</v>
      </c>
      <c r="C10" s="35" t="s">
        <v>95</v>
      </c>
      <c r="D10" s="36" t="s">
        <v>101</v>
      </c>
    </row>
    <row r="11" customFormat="false" ht="18" hidden="false" customHeight="true" outlineLevel="0" collapsed="false">
      <c r="A11" s="37" t="s">
        <v>102</v>
      </c>
      <c r="B11" s="41" t="str">
        <f aca="false">IFERROR(B8/B7,"")</f>
        <v/>
      </c>
      <c r="C11" s="35" t="s">
        <v>103</v>
      </c>
      <c r="D11" s="36" t="s">
        <v>104</v>
      </c>
    </row>
    <row r="12" customFormat="false" ht="18" hidden="false" customHeight="true" outlineLevel="0" collapsed="false">
      <c r="A12" s="33" t="s">
        <v>105</v>
      </c>
      <c r="B12" s="42"/>
      <c r="C12" s="35" t="s">
        <v>106</v>
      </c>
      <c r="D12" s="36" t="s">
        <v>107</v>
      </c>
    </row>
    <row r="13" customFormat="false" ht="18" hidden="false" customHeight="true" outlineLevel="0" collapsed="false">
      <c r="A13" s="37" t="s">
        <v>108</v>
      </c>
      <c r="B13" s="42"/>
      <c r="C13" s="35" t="s">
        <v>106</v>
      </c>
      <c r="D13" s="36" t="s">
        <v>109</v>
      </c>
    </row>
    <row r="14" customFormat="false" ht="18" hidden="false" customHeight="true" outlineLevel="0" collapsed="false">
      <c r="A14" s="33" t="s">
        <v>110</v>
      </c>
      <c r="B14" s="41" t="str">
        <f aca="false">IFERROR(B13/B12,"")</f>
        <v/>
      </c>
      <c r="C14" s="35" t="s">
        <v>103</v>
      </c>
      <c r="D14" s="36" t="s">
        <v>104</v>
      </c>
    </row>
    <row r="15" customFormat="false" ht="18" hidden="false" customHeight="true" outlineLevel="0" collapsed="false">
      <c r="A15" s="37" t="s">
        <v>111</v>
      </c>
      <c r="B15" s="31"/>
      <c r="C15" s="35" t="s">
        <v>112</v>
      </c>
      <c r="D15" s="36" t="s">
        <v>113</v>
      </c>
    </row>
    <row r="16" customFormat="false" ht="18" hidden="false" customHeight="true" outlineLevel="0" collapsed="false">
      <c r="A16" s="33" t="s">
        <v>114</v>
      </c>
      <c r="B16" s="31"/>
      <c r="C16" s="35" t="s">
        <v>112</v>
      </c>
      <c r="D16" s="36" t="s">
        <v>115</v>
      </c>
    </row>
    <row r="17" customFormat="false" ht="18" hidden="false" customHeight="true" outlineLevel="0" collapsed="false">
      <c r="A17" s="37" t="s">
        <v>116</v>
      </c>
      <c r="B17" s="41" t="str">
        <f aca="false">IFERROR(B16/B15,"")</f>
        <v/>
      </c>
      <c r="C17" s="35" t="s">
        <v>103</v>
      </c>
      <c r="D17" s="36" t="s">
        <v>104</v>
      </c>
    </row>
    <row r="18" customFormat="false" ht="18" hidden="false" customHeight="true" outlineLevel="0" collapsed="false">
      <c r="A18" s="33" t="s">
        <v>117</v>
      </c>
      <c r="B18" s="29"/>
      <c r="C18" s="35" t="s">
        <v>118</v>
      </c>
      <c r="D18" s="36" t="s">
        <v>119</v>
      </c>
    </row>
    <row r="19" customFormat="false" ht="18" hidden="false" customHeight="true" outlineLevel="0" collapsed="false">
      <c r="A19" s="37" t="s">
        <v>120</v>
      </c>
      <c r="B19" s="29"/>
      <c r="C19" s="35" t="s">
        <v>118</v>
      </c>
      <c r="D19" s="36" t="s">
        <v>121</v>
      </c>
    </row>
    <row r="20" customFormat="false" ht="18" hidden="false" customHeight="true" outlineLevel="0" collapsed="false">
      <c r="A20" s="33" t="s">
        <v>122</v>
      </c>
      <c r="B20" s="29"/>
      <c r="C20" s="35" t="s">
        <v>118</v>
      </c>
      <c r="D20" s="36" t="s">
        <v>123</v>
      </c>
    </row>
    <row r="21" customFormat="false" ht="18" hidden="false" customHeight="true" outlineLevel="0" collapsed="false">
      <c r="A21" s="37" t="s">
        <v>124</v>
      </c>
      <c r="B21" s="31"/>
      <c r="C21" s="35"/>
      <c r="D21" s="36" t="s">
        <v>126</v>
      </c>
    </row>
    <row r="22" customFormat="false" ht="18" hidden="false" customHeight="true" outlineLevel="0" collapsed="false">
      <c r="A22" s="33" t="s">
        <v>127</v>
      </c>
      <c r="B22" s="31"/>
      <c r="C22" s="35"/>
      <c r="D22" s="36" t="s">
        <v>129</v>
      </c>
    </row>
    <row r="23" customFormat="false" ht="4.5" hidden="false" customHeight="true" outlineLevel="0" collapsed="false"/>
    <row r="24" customFormat="false" ht="19.5" hidden="false" customHeight="true" outlineLevel="0" collapsed="false">
      <c r="A24" s="32" t="s">
        <v>130</v>
      </c>
      <c r="B24" s="32"/>
      <c r="C24" s="32"/>
      <c r="D24" s="32"/>
    </row>
    <row r="25" customFormat="false" ht="16.5" hidden="false" customHeight="true" outlineLevel="0" collapsed="false">
      <c r="A25" s="37" t="s">
        <v>131</v>
      </c>
      <c r="B25" s="31"/>
      <c r="C25" s="35" t="s">
        <v>133</v>
      </c>
      <c r="D25" s="36" t="s">
        <v>134</v>
      </c>
    </row>
    <row r="26" customFormat="false" ht="16.5" hidden="false" customHeight="true" outlineLevel="0" collapsed="false">
      <c r="A26" s="33" t="s">
        <v>135</v>
      </c>
      <c r="B26" s="31"/>
      <c r="C26" s="35" t="s">
        <v>133</v>
      </c>
      <c r="D26" s="36" t="s">
        <v>134</v>
      </c>
    </row>
    <row r="27" customFormat="false" ht="16.5" hidden="false" customHeight="true" outlineLevel="0" collapsed="false">
      <c r="A27" s="37" t="s">
        <v>137</v>
      </c>
      <c r="B27" s="31"/>
      <c r="C27" s="35" t="s">
        <v>133</v>
      </c>
      <c r="D27" s="36" t="s">
        <v>134</v>
      </c>
    </row>
    <row r="28" customFormat="false" ht="16.5" hidden="false" customHeight="true" outlineLevel="0" collapsed="false">
      <c r="A28" s="33" t="s">
        <v>139</v>
      </c>
      <c r="B28" s="31"/>
      <c r="C28" s="35" t="s">
        <v>133</v>
      </c>
      <c r="D28" s="36" t="s">
        <v>134</v>
      </c>
    </row>
    <row r="29" customFormat="false" ht="16.5" hidden="false" customHeight="true" outlineLevel="0" collapsed="false">
      <c r="A29" s="37" t="s">
        <v>141</v>
      </c>
      <c r="B29" s="31"/>
      <c r="C29" s="35" t="s">
        <v>133</v>
      </c>
      <c r="D29" s="36" t="s">
        <v>134</v>
      </c>
    </row>
    <row r="30" customFormat="false" ht="16.5" hidden="false" customHeight="true" outlineLevel="0" collapsed="false">
      <c r="A30" s="33" t="s">
        <v>143</v>
      </c>
      <c r="B30" s="31"/>
      <c r="C30" s="35" t="s">
        <v>133</v>
      </c>
      <c r="D30" s="36" t="s">
        <v>134</v>
      </c>
    </row>
    <row r="31" customFormat="false" ht="16.5" hidden="false" customHeight="true" outlineLevel="0" collapsed="false">
      <c r="A31" s="37" t="s">
        <v>144</v>
      </c>
      <c r="B31" s="31"/>
      <c r="C31" s="35" t="s">
        <v>133</v>
      </c>
      <c r="D31" s="36" t="s">
        <v>134</v>
      </c>
    </row>
    <row r="32" customFormat="false" ht="16.5" hidden="false" customHeight="true" outlineLevel="0" collapsed="false">
      <c r="A32" s="33" t="s">
        <v>145</v>
      </c>
      <c r="B32" s="31"/>
      <c r="C32" s="35" t="s">
        <v>133</v>
      </c>
      <c r="D32" s="36" t="s">
        <v>134</v>
      </c>
    </row>
    <row r="33" customFormat="false" ht="4.5" hidden="false" customHeight="true" outlineLevel="0" collapsed="false"/>
    <row r="34" customFormat="false" ht="19.5" hidden="false" customHeight="true" outlineLevel="0" collapsed="false">
      <c r="A34" s="32" t="s">
        <v>146</v>
      </c>
      <c r="B34" s="32"/>
      <c r="C34" s="32"/>
      <c r="D34" s="32"/>
    </row>
    <row r="35" customFormat="false" ht="18" hidden="false" customHeight="true" outlineLevel="0" collapsed="false">
      <c r="A35" s="33" t="s">
        <v>147</v>
      </c>
      <c r="B35" s="40" t="n">
        <f aca="false">IFERROR(COUNTIF(M129:M178,"Pending"),0)</f>
        <v>0</v>
      </c>
      <c r="C35" s="35" t="s">
        <v>106</v>
      </c>
      <c r="D35" s="36" t="s">
        <v>148</v>
      </c>
    </row>
    <row r="36" customFormat="false" ht="18" hidden="false" customHeight="true" outlineLevel="0" collapsed="false">
      <c r="A36" s="37" t="s">
        <v>149</v>
      </c>
      <c r="B36" s="40" t="n">
        <f aca="false">IFERROR(COUNTIF(M129:M178,"Confirmed"),0)</f>
        <v>0</v>
      </c>
      <c r="C36" s="35" t="s">
        <v>106</v>
      </c>
      <c r="D36" s="36" t="s">
        <v>148</v>
      </c>
    </row>
    <row r="37" customFormat="false" ht="18" hidden="false" customHeight="true" outlineLevel="0" collapsed="false">
      <c r="A37" s="33" t="s">
        <v>150</v>
      </c>
      <c r="B37" s="40" t="n">
        <f aca="false">IFERROR(COUNTIF(M129:M178,"In Production"),0)</f>
        <v>0</v>
      </c>
      <c r="C37" s="35" t="s">
        <v>106</v>
      </c>
      <c r="D37" s="36" t="s">
        <v>148</v>
      </c>
    </row>
    <row r="38" customFormat="false" ht="18" hidden="false" customHeight="true" outlineLevel="0" collapsed="false">
      <c r="A38" s="37" t="s">
        <v>151</v>
      </c>
      <c r="B38" s="40" t="n">
        <f aca="false">IFERROR(COUNTIF(M129:M178,"Shipped"),0)</f>
        <v>0</v>
      </c>
      <c r="C38" s="35" t="s">
        <v>106</v>
      </c>
      <c r="D38" s="36" t="s">
        <v>148</v>
      </c>
    </row>
    <row r="39" customFormat="false" ht="18" hidden="false" customHeight="true" outlineLevel="0" collapsed="false">
      <c r="A39" s="33" t="s">
        <v>152</v>
      </c>
      <c r="B39" s="40" t="n">
        <f aca="false">IFERROR(COUNTIF(M129:M178,"Delivered"),0)</f>
        <v>0</v>
      </c>
      <c r="C39" s="35" t="s">
        <v>106</v>
      </c>
      <c r="D39" s="36" t="s">
        <v>148</v>
      </c>
    </row>
    <row r="40" customFormat="false" ht="18" hidden="false" customHeight="true" outlineLevel="0" collapsed="false">
      <c r="A40" s="37" t="s">
        <v>153</v>
      </c>
      <c r="B40" s="40" t="n">
        <f aca="false">IFERROR(SUM(B35:B39),0)</f>
        <v>0</v>
      </c>
      <c r="C40" s="35" t="s">
        <v>106</v>
      </c>
      <c r="D40" s="36" t="s">
        <v>154</v>
      </c>
    </row>
    <row r="41" customFormat="false" ht="18" hidden="false" customHeight="true" outlineLevel="0" collapsed="false">
      <c r="A41" s="33" t="s">
        <v>155</v>
      </c>
      <c r="B41" s="43"/>
      <c r="C41" s="35" t="s">
        <v>103</v>
      </c>
      <c r="D41" s="36" t="s">
        <v>156</v>
      </c>
    </row>
    <row r="42" customFormat="false" ht="4.5" hidden="false" customHeight="true" outlineLevel="0" collapsed="false"/>
    <row r="43" customFormat="false" ht="19.5" hidden="false" customHeight="true" outlineLevel="0" collapsed="false">
      <c r="A43" s="32" t="s">
        <v>157</v>
      </c>
      <c r="B43" s="32"/>
      <c r="C43" s="32"/>
      <c r="D43" s="32"/>
    </row>
    <row r="44" customFormat="false" ht="18" hidden="false" customHeight="true" outlineLevel="0" collapsed="false">
      <c r="A44" s="33" t="s">
        <v>158</v>
      </c>
      <c r="B44" s="42"/>
      <c r="C44" s="35" t="s">
        <v>159</v>
      </c>
      <c r="D44" s="36" t="s">
        <v>160</v>
      </c>
    </row>
    <row r="45" customFormat="false" ht="18" hidden="false" customHeight="true" outlineLevel="0" collapsed="false">
      <c r="A45" s="37" t="s">
        <v>161</v>
      </c>
      <c r="B45" s="42"/>
      <c r="C45" s="35" t="s">
        <v>159</v>
      </c>
      <c r="D45" s="36" t="s">
        <v>162</v>
      </c>
    </row>
    <row r="46" customFormat="false" ht="18" hidden="false" customHeight="true" outlineLevel="0" collapsed="false">
      <c r="A46" s="33" t="s">
        <v>163</v>
      </c>
      <c r="B46" s="40" t="n">
        <f aca="false">IFERROR(B44+B45,"")</f>
        <v>0</v>
      </c>
      <c r="C46" s="35" t="s">
        <v>159</v>
      </c>
      <c r="D46" s="36" t="s">
        <v>104</v>
      </c>
    </row>
    <row r="47" customFormat="false" ht="18" hidden="false" customHeight="true" outlineLevel="0" collapsed="false">
      <c r="A47" s="37" t="s">
        <v>164</v>
      </c>
      <c r="B47" s="42"/>
      <c r="C47" s="35" t="s">
        <v>159</v>
      </c>
      <c r="D47" s="36" t="s">
        <v>165</v>
      </c>
    </row>
    <row r="48" customFormat="false" ht="18" hidden="false" customHeight="true" outlineLevel="0" collapsed="false">
      <c r="A48" s="33" t="s">
        <v>166</v>
      </c>
      <c r="B48" s="41" t="str">
        <f aca="false">IFERROR((B44+B45)/B47,"")</f>
        <v/>
      </c>
      <c r="C48" s="35" t="s">
        <v>103</v>
      </c>
      <c r="D48" s="36" t="s">
        <v>104</v>
      </c>
    </row>
    <row r="49" customFormat="false" ht="18" hidden="false" customHeight="true" outlineLevel="0" collapsed="false">
      <c r="A49" s="37" t="s">
        <v>167</v>
      </c>
      <c r="B49" s="31"/>
      <c r="C49" s="35" t="s">
        <v>169</v>
      </c>
      <c r="D49" s="36" t="s">
        <v>170</v>
      </c>
    </row>
    <row r="50" customFormat="false" ht="18" hidden="false" customHeight="true" outlineLevel="0" collapsed="false">
      <c r="A50" s="33" t="s">
        <v>171</v>
      </c>
      <c r="B50" s="31"/>
      <c r="C50" s="35" t="s">
        <v>169</v>
      </c>
      <c r="D50" s="36" t="s">
        <v>173</v>
      </c>
    </row>
    <row r="51" customFormat="false" ht="18" hidden="false" customHeight="true" outlineLevel="0" collapsed="false">
      <c r="A51" s="37" t="s">
        <v>174</v>
      </c>
      <c r="B51" s="31"/>
      <c r="C51" s="35" t="s">
        <v>169</v>
      </c>
      <c r="D51" s="36"/>
    </row>
    <row r="52" customFormat="false" ht="18" hidden="false" customHeight="true" outlineLevel="0" collapsed="false">
      <c r="A52" s="33" t="s">
        <v>176</v>
      </c>
      <c r="B52" s="31"/>
      <c r="C52" s="35" t="s">
        <v>169</v>
      </c>
      <c r="D52" s="36"/>
    </row>
    <row r="53" customFormat="false" ht="4.5" hidden="false" customHeight="true" outlineLevel="0" collapsed="false"/>
    <row r="54" customFormat="false" ht="19.5" hidden="false" customHeight="true" outlineLevel="0" collapsed="false">
      <c r="A54" s="32" t="s">
        <v>177</v>
      </c>
      <c r="B54" s="32"/>
      <c r="C54" s="32"/>
      <c r="D54" s="32"/>
    </row>
    <row r="55" customFormat="false" ht="18" hidden="false" customHeight="true" outlineLevel="0" collapsed="false">
      <c r="A55" s="33" t="s">
        <v>178</v>
      </c>
      <c r="B55" s="42"/>
      <c r="C55" s="35" t="s">
        <v>106</v>
      </c>
      <c r="D55" s="36" t="s">
        <v>179</v>
      </c>
    </row>
    <row r="56" customFormat="false" ht="18" hidden="false" customHeight="true" outlineLevel="0" collapsed="false">
      <c r="A56" s="37" t="s">
        <v>180</v>
      </c>
      <c r="B56" s="42"/>
      <c r="C56" s="35" t="s">
        <v>106</v>
      </c>
      <c r="D56" s="36" t="s">
        <v>181</v>
      </c>
    </row>
    <row r="57" customFormat="false" ht="18" hidden="false" customHeight="true" outlineLevel="0" collapsed="false">
      <c r="A57" s="33" t="s">
        <v>182</v>
      </c>
      <c r="B57" s="42"/>
      <c r="C57" s="35" t="s">
        <v>106</v>
      </c>
      <c r="D57" s="36" t="s">
        <v>183</v>
      </c>
    </row>
    <row r="58" customFormat="false" ht="18" hidden="false" customHeight="true" outlineLevel="0" collapsed="false">
      <c r="A58" s="37" t="s">
        <v>184</v>
      </c>
      <c r="B58" s="42"/>
      <c r="C58" s="35" t="s">
        <v>106</v>
      </c>
      <c r="D58" s="36" t="s">
        <v>185</v>
      </c>
    </row>
    <row r="59" customFormat="false" ht="18" hidden="false" customHeight="true" outlineLevel="0" collapsed="false">
      <c r="A59" s="33" t="s">
        <v>186</v>
      </c>
      <c r="B59" s="41" t="str">
        <f aca="false">IFERROR(B56/B55,"")</f>
        <v/>
      </c>
      <c r="C59" s="35" t="s">
        <v>103</v>
      </c>
      <c r="D59" s="36" t="s">
        <v>104</v>
      </c>
    </row>
    <row r="60" customFormat="false" ht="18" hidden="false" customHeight="true" outlineLevel="0" collapsed="false">
      <c r="A60" s="37" t="s">
        <v>187</v>
      </c>
      <c r="B60" s="41" t="str">
        <f aca="false">IFERROR(B57/B55,"")</f>
        <v/>
      </c>
      <c r="C60" s="35" t="s">
        <v>103</v>
      </c>
      <c r="D60" s="36" t="s">
        <v>104</v>
      </c>
    </row>
    <row r="61" customFormat="false" ht="18" hidden="false" customHeight="true" outlineLevel="0" collapsed="false">
      <c r="A61" s="33" t="s">
        <v>188</v>
      </c>
      <c r="B61" s="41" t="str">
        <f aca="false">IFERROR(B58/B55,"")</f>
        <v/>
      </c>
      <c r="C61" s="35" t="s">
        <v>103</v>
      </c>
      <c r="D61" s="36" t="s">
        <v>104</v>
      </c>
    </row>
    <row r="62" customFormat="false" ht="18" hidden="false" customHeight="true" outlineLevel="0" collapsed="false">
      <c r="A62" s="37" t="s">
        <v>189</v>
      </c>
      <c r="B62" s="31"/>
      <c r="C62" s="35"/>
      <c r="D62" s="36" t="s">
        <v>191</v>
      </c>
    </row>
    <row r="63" customFormat="false" ht="18" hidden="false" customHeight="true" outlineLevel="0" collapsed="false">
      <c r="A63" s="33" t="s">
        <v>192</v>
      </c>
      <c r="B63" s="31"/>
      <c r="C63" s="35"/>
      <c r="D63" s="36"/>
    </row>
    <row r="64" customFormat="false" ht="18" hidden="false" customHeight="true" outlineLevel="0" collapsed="false">
      <c r="A64" s="37" t="s">
        <v>194</v>
      </c>
      <c r="B64" s="31"/>
      <c r="C64" s="35"/>
      <c r="D64" s="36"/>
    </row>
    <row r="65" customFormat="false" ht="18" hidden="false" customHeight="true" outlineLevel="0" collapsed="false">
      <c r="A65" s="33" t="s">
        <v>196</v>
      </c>
      <c r="B65" s="31"/>
      <c r="C65" s="35"/>
      <c r="D65" s="36"/>
    </row>
    <row r="66" customFormat="false" ht="18" hidden="false" customHeight="true" outlineLevel="0" collapsed="false">
      <c r="A66" s="37" t="s">
        <v>198</v>
      </c>
      <c r="B66" s="31"/>
      <c r="C66" s="35"/>
      <c r="D66" s="36"/>
    </row>
    <row r="67" customFormat="false" ht="4.5" hidden="false" customHeight="true" outlineLevel="0" collapsed="false"/>
    <row r="68" customFormat="false" ht="19.5" hidden="false" customHeight="true" outlineLevel="0" collapsed="false">
      <c r="A68" s="32" t="s">
        <v>199</v>
      </c>
      <c r="B68" s="32"/>
      <c r="C68" s="32"/>
      <c r="D68" s="32"/>
    </row>
    <row r="69" customFormat="false" ht="18" hidden="false" customHeight="true" outlineLevel="0" collapsed="false">
      <c r="A69" s="33" t="s">
        <v>200</v>
      </c>
      <c r="B69" s="43"/>
      <c r="C69" s="35" t="s">
        <v>103</v>
      </c>
      <c r="D69" s="36" t="s">
        <v>201</v>
      </c>
    </row>
    <row r="70" customFormat="false" ht="18" hidden="false" customHeight="true" outlineLevel="0" collapsed="false">
      <c r="A70" s="37" t="s">
        <v>202</v>
      </c>
      <c r="B70" s="31"/>
      <c r="C70" s="35"/>
      <c r="D70" s="36" t="s">
        <v>204</v>
      </c>
    </row>
    <row r="71" customFormat="false" ht="18" hidden="false" customHeight="true" outlineLevel="0" collapsed="false">
      <c r="A71" s="33" t="s">
        <v>205</v>
      </c>
      <c r="B71" s="31"/>
      <c r="C71" s="35"/>
      <c r="D71" s="36" t="s">
        <v>206</v>
      </c>
    </row>
    <row r="72" customFormat="false" ht="18" hidden="false" customHeight="true" outlineLevel="0" collapsed="false">
      <c r="A72" s="37" t="s">
        <v>207</v>
      </c>
      <c r="B72" s="31"/>
      <c r="C72" s="35"/>
      <c r="D72" s="36" t="s">
        <v>208</v>
      </c>
    </row>
    <row r="73" customFormat="false" ht="4.5" hidden="false" customHeight="true" outlineLevel="0" collapsed="false"/>
    <row r="74" customFormat="false" ht="19.5" hidden="false" customHeight="true" outlineLevel="0" collapsed="false">
      <c r="A74" s="44" t="s">
        <v>209</v>
      </c>
      <c r="B74" s="44"/>
      <c r="C74" s="44"/>
      <c r="D74" s="44"/>
    </row>
    <row r="75" customFormat="false" ht="18" hidden="false" customHeight="true" outlineLevel="0" collapsed="false">
      <c r="A75" s="45" t="s">
        <v>210</v>
      </c>
      <c r="B75" s="45" t="s">
        <v>211</v>
      </c>
      <c r="C75" s="45" t="s">
        <v>212</v>
      </c>
      <c r="D75" s="45" t="s">
        <v>213</v>
      </c>
    </row>
    <row r="76" customFormat="false" ht="30" hidden="false" customHeight="true" outlineLevel="0" collapsed="false">
      <c r="A76" s="46" t="n">
        <v>1</v>
      </c>
      <c r="B76" s="47"/>
      <c r="C76" s="48"/>
      <c r="D76" s="48"/>
    </row>
    <row r="77" customFormat="false" ht="30" hidden="false" customHeight="true" outlineLevel="0" collapsed="false">
      <c r="A77" s="49" t="n">
        <v>2</v>
      </c>
      <c r="B77" s="47"/>
      <c r="C77" s="48"/>
      <c r="D77" s="48"/>
    </row>
    <row r="78" customFormat="false" ht="30" hidden="false" customHeight="true" outlineLevel="0" collapsed="false">
      <c r="A78" s="46" t="n">
        <v>3</v>
      </c>
      <c r="B78" s="47"/>
      <c r="C78" s="48"/>
      <c r="D78" s="48"/>
    </row>
    <row r="79" customFormat="false" ht="30" hidden="false" customHeight="true" outlineLevel="0" collapsed="false">
      <c r="A79" s="49" t="n">
        <v>4</v>
      </c>
      <c r="B79" s="47"/>
      <c r="C79" s="48"/>
      <c r="D79" s="48"/>
    </row>
    <row r="80" customFormat="false" ht="30" hidden="false" customHeight="true" outlineLevel="0" collapsed="false">
      <c r="A80" s="46" t="n">
        <v>5</v>
      </c>
      <c r="B80" s="47"/>
      <c r="C80" s="48"/>
      <c r="D80" s="48"/>
    </row>
    <row r="81" customFormat="false" ht="30" hidden="false" customHeight="true" outlineLevel="0" collapsed="false">
      <c r="A81" s="49" t="n">
        <v>6</v>
      </c>
      <c r="B81" s="47"/>
      <c r="C81" s="48"/>
      <c r="D81" s="48"/>
    </row>
    <row r="82" customFormat="false" ht="30" hidden="false" customHeight="true" outlineLevel="0" collapsed="false">
      <c r="A82" s="46" t="n">
        <v>7</v>
      </c>
      <c r="B82" s="47"/>
      <c r="C82" s="48"/>
      <c r="D82" s="48"/>
    </row>
    <row r="83" customFormat="false" ht="30" hidden="false" customHeight="true" outlineLevel="0" collapsed="false">
      <c r="A83" s="49" t="n">
        <v>8</v>
      </c>
      <c r="B83" s="47"/>
      <c r="C83" s="48"/>
      <c r="D83" s="48"/>
    </row>
    <row r="84" customFormat="false" ht="4.5" hidden="false" customHeight="true" outlineLevel="0" collapsed="false"/>
    <row r="85" customFormat="false" ht="13.5" hidden="false" customHeight="true" outlineLevel="0" collapsed="false">
      <c r="A85" s="26" t="s">
        <v>219</v>
      </c>
      <c r="B85" s="26"/>
      <c r="C85" s="26"/>
      <c r="D85" s="26"/>
    </row>
    <row r="86" customFormat="false" ht="13.5" hidden="false" customHeight="true" outlineLevel="0" collapsed="false">
      <c r="A86" s="50" t="s">
        <v>220</v>
      </c>
      <c r="B86" s="50"/>
      <c r="C86" s="50"/>
      <c r="D86" s="50"/>
    </row>
    <row r="87" customFormat="false" ht="7.5" hidden="false" customHeight="true" outlineLevel="0" collapsed="false"/>
    <row r="88" customFormat="false" ht="7.5" hidden="false" customHeight="true" outlineLevel="0" collapsed="false"/>
    <row r="89" customFormat="false" ht="19.5" hidden="false" customHeight="true" outlineLevel="0" collapsed="false">
      <c r="A89" s="32" t="s">
        <v>221</v>
      </c>
      <c r="B89" s="32"/>
      <c r="C89" s="32"/>
      <c r="D89" s="32"/>
      <c r="E89" s="32"/>
      <c r="F89" s="32"/>
      <c r="G89" s="32"/>
      <c r="H89" s="32"/>
      <c r="I89" s="32"/>
    </row>
    <row r="90" customFormat="false" ht="30" hidden="false" customHeight="true" outlineLevel="0" collapsed="false">
      <c r="A90" s="51" t="s">
        <v>106</v>
      </c>
      <c r="B90" s="51" t="s">
        <v>222</v>
      </c>
      <c r="C90" s="51" t="s">
        <v>223</v>
      </c>
      <c r="D90" s="51" t="s">
        <v>224</v>
      </c>
      <c r="E90" s="51" t="s">
        <v>225</v>
      </c>
      <c r="F90" s="51" t="s">
        <v>226</v>
      </c>
      <c r="G90" s="51" t="s">
        <v>227</v>
      </c>
      <c r="H90" s="51" t="s">
        <v>228</v>
      </c>
      <c r="I90" s="51" t="s">
        <v>229</v>
      </c>
    </row>
    <row r="91" customFormat="false" ht="16.5" hidden="false" customHeight="true" outlineLevel="0" collapsed="false">
      <c r="A91" s="52" t="n">
        <v>1</v>
      </c>
      <c r="B91" s="53"/>
      <c r="C91" s="53"/>
      <c r="D91" s="53"/>
      <c r="E91" s="53"/>
      <c r="F91" s="54"/>
      <c r="G91" s="55"/>
      <c r="H91" s="53"/>
      <c r="I91" s="53"/>
    </row>
    <row r="92" customFormat="false" ht="16.5" hidden="false" customHeight="true" outlineLevel="0" collapsed="false">
      <c r="A92" s="52" t="n">
        <v>2</v>
      </c>
      <c r="B92" s="53"/>
      <c r="C92" s="53"/>
      <c r="D92" s="53"/>
      <c r="E92" s="53"/>
      <c r="F92" s="54"/>
      <c r="G92" s="55"/>
      <c r="H92" s="53"/>
      <c r="I92" s="53"/>
    </row>
    <row r="93" customFormat="false" ht="16.5" hidden="false" customHeight="true" outlineLevel="0" collapsed="false">
      <c r="A93" s="52" t="n">
        <v>3</v>
      </c>
      <c r="B93" s="53"/>
      <c r="C93" s="53"/>
      <c r="D93" s="53"/>
      <c r="E93" s="53"/>
      <c r="F93" s="54"/>
      <c r="G93" s="55"/>
      <c r="H93" s="53"/>
      <c r="I93" s="53"/>
    </row>
    <row r="94" customFormat="false" ht="16.5" hidden="false" customHeight="true" outlineLevel="0" collapsed="false">
      <c r="A94" s="52" t="n">
        <v>4</v>
      </c>
      <c r="B94" s="53"/>
      <c r="C94" s="53"/>
      <c r="D94" s="53"/>
      <c r="E94" s="53"/>
      <c r="F94" s="54"/>
      <c r="G94" s="55"/>
      <c r="H94" s="53"/>
      <c r="I94" s="53"/>
    </row>
    <row r="95" customFormat="false" ht="16.5" hidden="false" customHeight="true" outlineLevel="0" collapsed="false">
      <c r="A95" s="52" t="n">
        <v>5</v>
      </c>
      <c r="B95" s="53"/>
      <c r="C95" s="53"/>
      <c r="D95" s="53"/>
      <c r="E95" s="53"/>
      <c r="F95" s="54"/>
      <c r="G95" s="55"/>
      <c r="H95" s="53"/>
      <c r="I95" s="53"/>
    </row>
    <row r="96" customFormat="false" ht="16.5" hidden="false" customHeight="true" outlineLevel="0" collapsed="false">
      <c r="A96" s="52" t="n">
        <v>6</v>
      </c>
      <c r="B96" s="53"/>
      <c r="C96" s="53"/>
      <c r="D96" s="53"/>
      <c r="E96" s="53"/>
      <c r="F96" s="54"/>
      <c r="G96" s="55"/>
      <c r="H96" s="53"/>
      <c r="I96" s="53"/>
    </row>
    <row r="97" customFormat="false" ht="16.5" hidden="false" customHeight="true" outlineLevel="0" collapsed="false">
      <c r="A97" s="52" t="n">
        <v>7</v>
      </c>
      <c r="B97" s="53"/>
      <c r="C97" s="53"/>
      <c r="D97" s="53"/>
      <c r="E97" s="53"/>
      <c r="F97" s="54"/>
      <c r="G97" s="55"/>
      <c r="H97" s="53"/>
      <c r="I97" s="53"/>
    </row>
    <row r="98" customFormat="false" ht="16.5" hidden="false" customHeight="true" outlineLevel="0" collapsed="false">
      <c r="A98" s="52" t="n">
        <v>8</v>
      </c>
      <c r="B98" s="53"/>
      <c r="C98" s="53"/>
      <c r="D98" s="53"/>
      <c r="E98" s="53"/>
      <c r="F98" s="54"/>
      <c r="G98" s="55"/>
      <c r="H98" s="53"/>
      <c r="I98" s="53"/>
    </row>
    <row r="99" customFormat="false" ht="16.5" hidden="false" customHeight="true" outlineLevel="0" collapsed="false">
      <c r="A99" s="52" t="n">
        <v>9</v>
      </c>
      <c r="B99" s="53"/>
      <c r="C99" s="53"/>
      <c r="D99" s="53"/>
      <c r="E99" s="53"/>
      <c r="F99" s="54"/>
      <c r="G99" s="55"/>
      <c r="H99" s="53"/>
      <c r="I99" s="53"/>
    </row>
    <row r="100" customFormat="false" ht="16.5" hidden="false" customHeight="true" outlineLevel="0" collapsed="false">
      <c r="A100" s="52" t="n">
        <v>10</v>
      </c>
      <c r="B100" s="53"/>
      <c r="C100" s="53"/>
      <c r="D100" s="53"/>
      <c r="E100" s="53"/>
      <c r="F100" s="54"/>
      <c r="G100" s="55"/>
      <c r="H100" s="53"/>
      <c r="I100" s="53"/>
    </row>
    <row r="101" customFormat="false" ht="16.5" hidden="false" customHeight="true" outlineLevel="0" collapsed="false">
      <c r="A101" s="52" t="n">
        <v>11</v>
      </c>
      <c r="B101" s="53"/>
      <c r="C101" s="53"/>
      <c r="D101" s="53"/>
      <c r="E101" s="53"/>
      <c r="F101" s="54"/>
      <c r="G101" s="55"/>
      <c r="H101" s="53"/>
      <c r="I101" s="53"/>
    </row>
    <row r="102" customFormat="false" ht="16.5" hidden="false" customHeight="true" outlineLevel="0" collapsed="false">
      <c r="A102" s="52" t="n">
        <v>12</v>
      </c>
      <c r="B102" s="53"/>
      <c r="C102" s="53"/>
      <c r="D102" s="53"/>
      <c r="E102" s="53"/>
      <c r="F102" s="54"/>
      <c r="G102" s="55"/>
      <c r="H102" s="53"/>
      <c r="I102" s="53"/>
    </row>
    <row r="103" customFormat="false" ht="16.5" hidden="false" customHeight="true" outlineLevel="0" collapsed="false">
      <c r="A103" s="52" t="n">
        <v>13</v>
      </c>
      <c r="B103" s="53"/>
      <c r="C103" s="53"/>
      <c r="D103" s="53"/>
      <c r="E103" s="53"/>
      <c r="F103" s="54"/>
      <c r="G103" s="55"/>
      <c r="H103" s="53"/>
      <c r="I103" s="53"/>
    </row>
    <row r="104" customFormat="false" ht="16.5" hidden="false" customHeight="true" outlineLevel="0" collapsed="false">
      <c r="A104" s="52" t="n">
        <v>14</v>
      </c>
      <c r="B104" s="53"/>
      <c r="C104" s="53"/>
      <c r="D104" s="53"/>
      <c r="E104" s="53"/>
      <c r="F104" s="54"/>
      <c r="G104" s="55"/>
      <c r="H104" s="53"/>
      <c r="I104" s="53"/>
    </row>
    <row r="105" customFormat="false" ht="16.5" hidden="false" customHeight="true" outlineLevel="0" collapsed="false">
      <c r="A105" s="52" t="n">
        <v>15</v>
      </c>
      <c r="B105" s="53"/>
      <c r="C105" s="53"/>
      <c r="D105" s="53"/>
      <c r="E105" s="53"/>
      <c r="F105" s="54"/>
      <c r="G105" s="55"/>
      <c r="H105" s="53"/>
      <c r="I105" s="53"/>
    </row>
    <row r="106" customFormat="false" ht="16.5" hidden="false" customHeight="true" outlineLevel="0" collapsed="false">
      <c r="A106" s="52" t="n">
        <v>16</v>
      </c>
      <c r="B106" s="53"/>
      <c r="C106" s="53"/>
      <c r="D106" s="53"/>
      <c r="E106" s="53"/>
      <c r="F106" s="54"/>
      <c r="G106" s="55"/>
      <c r="H106" s="53"/>
      <c r="I106" s="53"/>
    </row>
    <row r="107" customFormat="false" ht="16.5" hidden="false" customHeight="true" outlineLevel="0" collapsed="false">
      <c r="A107" s="52" t="n">
        <v>17</v>
      </c>
      <c r="B107" s="53"/>
      <c r="C107" s="53"/>
      <c r="D107" s="53"/>
      <c r="E107" s="53"/>
      <c r="F107" s="54"/>
      <c r="G107" s="55"/>
      <c r="H107" s="53"/>
      <c r="I107" s="53"/>
    </row>
    <row r="108" customFormat="false" ht="16.5" hidden="false" customHeight="true" outlineLevel="0" collapsed="false">
      <c r="A108" s="52" t="n">
        <v>18</v>
      </c>
      <c r="B108" s="53"/>
      <c r="C108" s="53"/>
      <c r="D108" s="53"/>
      <c r="E108" s="53"/>
      <c r="F108" s="54"/>
      <c r="G108" s="55"/>
      <c r="H108" s="53"/>
      <c r="I108" s="53"/>
    </row>
    <row r="109" customFormat="false" ht="16.5" hidden="false" customHeight="true" outlineLevel="0" collapsed="false">
      <c r="A109" s="52" t="n">
        <v>19</v>
      </c>
      <c r="B109" s="53"/>
      <c r="C109" s="53"/>
      <c r="D109" s="53"/>
      <c r="E109" s="53"/>
      <c r="F109" s="54"/>
      <c r="G109" s="55"/>
      <c r="H109" s="53"/>
      <c r="I109" s="53"/>
    </row>
    <row r="110" customFormat="false" ht="16.5" hidden="false" customHeight="true" outlineLevel="0" collapsed="false">
      <c r="A110" s="52" t="n">
        <v>20</v>
      </c>
      <c r="B110" s="53"/>
      <c r="C110" s="53"/>
      <c r="D110" s="53"/>
      <c r="E110" s="53"/>
      <c r="F110" s="54"/>
      <c r="G110" s="55"/>
      <c r="H110" s="53"/>
      <c r="I110" s="53"/>
    </row>
    <row r="111" customFormat="false" ht="16.5" hidden="false" customHeight="true" outlineLevel="0" collapsed="false">
      <c r="A111" s="52" t="n">
        <v>21</v>
      </c>
      <c r="B111" s="53"/>
      <c r="C111" s="53"/>
      <c r="D111" s="53"/>
      <c r="E111" s="53"/>
      <c r="F111" s="54"/>
      <c r="G111" s="55"/>
      <c r="H111" s="53"/>
      <c r="I111" s="53"/>
    </row>
    <row r="112" customFormat="false" ht="16.5" hidden="false" customHeight="true" outlineLevel="0" collapsed="false">
      <c r="A112" s="52" t="n">
        <v>22</v>
      </c>
      <c r="B112" s="53"/>
      <c r="C112" s="53"/>
      <c r="D112" s="53"/>
      <c r="E112" s="53"/>
      <c r="F112" s="54"/>
      <c r="G112" s="55"/>
      <c r="H112" s="53"/>
      <c r="I112" s="53"/>
    </row>
    <row r="113" customFormat="false" ht="16.5" hidden="false" customHeight="true" outlineLevel="0" collapsed="false">
      <c r="A113" s="52" t="n">
        <v>23</v>
      </c>
      <c r="B113" s="53"/>
      <c r="C113" s="53"/>
      <c r="D113" s="53"/>
      <c r="E113" s="53"/>
      <c r="F113" s="54"/>
      <c r="G113" s="55"/>
      <c r="H113" s="53"/>
      <c r="I113" s="53"/>
    </row>
    <row r="114" customFormat="false" ht="16.5" hidden="false" customHeight="true" outlineLevel="0" collapsed="false">
      <c r="A114" s="52" t="n">
        <v>24</v>
      </c>
      <c r="B114" s="53"/>
      <c r="C114" s="53"/>
      <c r="D114" s="53"/>
      <c r="E114" s="53"/>
      <c r="F114" s="54"/>
      <c r="G114" s="55"/>
      <c r="H114" s="53"/>
      <c r="I114" s="53"/>
    </row>
    <row r="115" customFormat="false" ht="16.5" hidden="false" customHeight="true" outlineLevel="0" collapsed="false">
      <c r="A115" s="52" t="n">
        <v>25</v>
      </c>
      <c r="B115" s="53"/>
      <c r="C115" s="53"/>
      <c r="D115" s="53"/>
      <c r="E115" s="53"/>
      <c r="F115" s="54"/>
      <c r="G115" s="55"/>
      <c r="H115" s="53"/>
      <c r="I115" s="53"/>
    </row>
    <row r="116" customFormat="false" ht="16.5" hidden="false" customHeight="true" outlineLevel="0" collapsed="false">
      <c r="A116" s="52" t="n">
        <v>26</v>
      </c>
      <c r="B116" s="53"/>
      <c r="C116" s="53"/>
      <c r="D116" s="53"/>
      <c r="E116" s="53"/>
      <c r="F116" s="54"/>
      <c r="G116" s="55"/>
      <c r="H116" s="53"/>
      <c r="I116" s="53"/>
    </row>
    <row r="117" customFormat="false" ht="16.5" hidden="false" customHeight="true" outlineLevel="0" collapsed="false">
      <c r="A117" s="52" t="n">
        <v>27</v>
      </c>
      <c r="B117" s="53"/>
      <c r="C117" s="53"/>
      <c r="D117" s="53"/>
      <c r="E117" s="53"/>
      <c r="F117" s="54"/>
      <c r="G117" s="55"/>
      <c r="H117" s="53"/>
      <c r="I117" s="53"/>
    </row>
    <row r="118" customFormat="false" ht="16.5" hidden="false" customHeight="true" outlineLevel="0" collapsed="false">
      <c r="A118" s="52" t="n">
        <v>28</v>
      </c>
      <c r="B118" s="53"/>
      <c r="C118" s="53"/>
      <c r="D118" s="53"/>
      <c r="E118" s="53"/>
      <c r="F118" s="54"/>
      <c r="G118" s="55"/>
      <c r="H118" s="53"/>
      <c r="I118" s="53"/>
    </row>
    <row r="119" customFormat="false" ht="16.5" hidden="false" customHeight="true" outlineLevel="0" collapsed="false">
      <c r="A119" s="52" t="n">
        <v>29</v>
      </c>
      <c r="B119" s="53"/>
      <c r="C119" s="53"/>
      <c r="D119" s="53"/>
      <c r="E119" s="53"/>
      <c r="F119" s="54"/>
      <c r="G119" s="55"/>
      <c r="H119" s="53"/>
      <c r="I119" s="53"/>
    </row>
    <row r="120" customFormat="false" ht="16.5" hidden="false" customHeight="true" outlineLevel="0" collapsed="false">
      <c r="A120" s="52" t="n">
        <v>30</v>
      </c>
      <c r="B120" s="53"/>
      <c r="C120" s="53"/>
      <c r="D120" s="53"/>
      <c r="E120" s="53"/>
      <c r="F120" s="54"/>
      <c r="G120" s="55"/>
      <c r="H120" s="53"/>
      <c r="I120" s="53"/>
    </row>
    <row r="121" customFormat="false" ht="16.5" hidden="false" customHeight="true" outlineLevel="0" collapsed="false">
      <c r="A121" s="52" t="n">
        <v>31</v>
      </c>
      <c r="B121" s="53"/>
      <c r="C121" s="53"/>
      <c r="D121" s="53"/>
      <c r="E121" s="53"/>
      <c r="F121" s="54"/>
      <c r="G121" s="55"/>
      <c r="H121" s="53"/>
      <c r="I121" s="53"/>
    </row>
    <row r="122" customFormat="false" ht="16.5" hidden="false" customHeight="true" outlineLevel="0" collapsed="false">
      <c r="A122" s="52" t="n">
        <v>32</v>
      </c>
      <c r="B122" s="53"/>
      <c r="C122" s="53"/>
      <c r="D122" s="53"/>
      <c r="E122" s="53"/>
      <c r="F122" s="54"/>
      <c r="G122" s="55"/>
      <c r="H122" s="53"/>
      <c r="I122" s="53"/>
    </row>
    <row r="123" customFormat="false" ht="16.5" hidden="false" customHeight="true" outlineLevel="0" collapsed="false">
      <c r="A123" s="52" t="n">
        <v>33</v>
      </c>
      <c r="B123" s="53"/>
      <c r="C123" s="53"/>
      <c r="D123" s="53"/>
      <c r="E123" s="53"/>
      <c r="F123" s="54"/>
      <c r="G123" s="55"/>
      <c r="H123" s="53"/>
      <c r="I123" s="53"/>
    </row>
    <row r="124" customFormat="false" ht="16.5" hidden="false" customHeight="true" outlineLevel="0" collapsed="false">
      <c r="A124" s="52" t="n">
        <v>34</v>
      </c>
      <c r="B124" s="53"/>
      <c r="C124" s="53"/>
      <c r="D124" s="53"/>
      <c r="E124" s="53"/>
      <c r="F124" s="54"/>
      <c r="G124" s="55"/>
      <c r="H124" s="53"/>
      <c r="I124" s="53"/>
    </row>
    <row r="125" customFormat="false" ht="16.5" hidden="false" customHeight="true" outlineLevel="0" collapsed="false">
      <c r="A125" s="52" t="n">
        <v>35</v>
      </c>
      <c r="B125" s="53"/>
      <c r="C125" s="53"/>
      <c r="D125" s="53"/>
      <c r="E125" s="53"/>
      <c r="F125" s="54"/>
      <c r="G125" s="55"/>
      <c r="H125" s="53"/>
      <c r="I125" s="53"/>
    </row>
    <row r="126" customFormat="false" ht="15" hidden="false" customHeight="true" outlineLevel="0" collapsed="false">
      <c r="A126" s="56" t="s">
        <v>260</v>
      </c>
      <c r="B126" s="56"/>
      <c r="C126" s="56"/>
      <c r="D126" s="56"/>
      <c r="E126" s="56"/>
      <c r="F126" s="57" t="n">
        <f aca="false">IFERROR(SUM(F91:F125),0)</f>
        <v>0</v>
      </c>
    </row>
    <row r="127" customFormat="false" ht="19.5" hidden="false" customHeight="true" outlineLevel="0" collapsed="false">
      <c r="A127" s="32" t="s">
        <v>261</v>
      </c>
      <c r="B127" s="32"/>
      <c r="C127" s="32"/>
      <c r="D127" s="32"/>
      <c r="E127" s="32"/>
      <c r="F127" s="58"/>
      <c r="G127" s="58"/>
      <c r="H127" s="58"/>
      <c r="I127" s="58"/>
      <c r="J127" s="58"/>
      <c r="K127" s="58"/>
      <c r="L127" s="58"/>
      <c r="M127" s="58"/>
      <c r="N127" s="58"/>
    </row>
    <row r="128" customFormat="false" ht="31.5" hidden="false" customHeight="true" outlineLevel="0" collapsed="false">
      <c r="A128" s="51" t="s">
        <v>106</v>
      </c>
      <c r="B128" s="51" t="s">
        <v>262</v>
      </c>
      <c r="C128" s="51" t="s">
        <v>263</v>
      </c>
      <c r="D128" s="51" t="s">
        <v>264</v>
      </c>
      <c r="E128" s="51" t="s">
        <v>265</v>
      </c>
      <c r="F128" s="51" t="s">
        <v>266</v>
      </c>
      <c r="G128" s="51" t="s">
        <v>267</v>
      </c>
      <c r="H128" s="51" t="s">
        <v>268</v>
      </c>
      <c r="I128" s="51" t="s">
        <v>269</v>
      </c>
      <c r="J128" s="51" t="s">
        <v>270</v>
      </c>
      <c r="K128" s="51" t="s">
        <v>271</v>
      </c>
      <c r="L128" s="51" t="s">
        <v>272</v>
      </c>
      <c r="M128" s="51" t="s">
        <v>61</v>
      </c>
      <c r="N128" s="51" t="s">
        <v>273</v>
      </c>
    </row>
    <row r="129" customFormat="false" ht="16.5" hidden="false" customHeight="true" outlineLevel="0" collapsed="false">
      <c r="A129" s="52" t="n">
        <v>1</v>
      </c>
      <c r="B129" s="53"/>
      <c r="C129" s="53"/>
      <c r="D129" s="53"/>
      <c r="E129" s="59"/>
      <c r="F129" s="59"/>
      <c r="G129" s="60"/>
      <c r="H129" s="57" t="n">
        <f aca="false">IFERROR(E129*G129,"")</f>
        <v>0</v>
      </c>
      <c r="I129" s="53"/>
      <c r="J129" s="55"/>
      <c r="K129" s="55"/>
      <c r="L129" s="55"/>
      <c r="M129" s="53"/>
      <c r="N129" s="53"/>
    </row>
    <row r="130" customFormat="false" ht="16.5" hidden="false" customHeight="true" outlineLevel="0" collapsed="false">
      <c r="A130" s="52" t="n">
        <v>2</v>
      </c>
      <c r="B130" s="53"/>
      <c r="C130" s="53"/>
      <c r="D130" s="53"/>
      <c r="E130" s="59"/>
      <c r="F130" s="59"/>
      <c r="G130" s="60"/>
      <c r="H130" s="57" t="n">
        <f aca="false">IFERROR(E130*G130,"")</f>
        <v>0</v>
      </c>
      <c r="I130" s="53"/>
      <c r="J130" s="55"/>
      <c r="K130" s="55"/>
      <c r="L130" s="55"/>
      <c r="M130" s="53"/>
      <c r="N130" s="53"/>
    </row>
    <row r="131" customFormat="false" ht="16.5" hidden="false" customHeight="true" outlineLevel="0" collapsed="false">
      <c r="A131" s="52" t="n">
        <v>3</v>
      </c>
      <c r="B131" s="53"/>
      <c r="C131" s="53"/>
      <c r="D131" s="53"/>
      <c r="E131" s="59"/>
      <c r="F131" s="59"/>
      <c r="G131" s="60"/>
      <c r="H131" s="57" t="n">
        <f aca="false">IFERROR(E131*G131,"")</f>
        <v>0</v>
      </c>
      <c r="I131" s="53"/>
      <c r="J131" s="55"/>
      <c r="K131" s="55"/>
      <c r="L131" s="55"/>
      <c r="M131" s="53"/>
      <c r="N131" s="53"/>
    </row>
    <row r="132" customFormat="false" ht="16.5" hidden="false" customHeight="true" outlineLevel="0" collapsed="false">
      <c r="A132" s="52" t="n">
        <v>4</v>
      </c>
      <c r="B132" s="53"/>
      <c r="C132" s="53"/>
      <c r="D132" s="53"/>
      <c r="E132" s="59"/>
      <c r="F132" s="59"/>
      <c r="G132" s="60"/>
      <c r="H132" s="57" t="n">
        <f aca="false">IFERROR(E132*G132,"")</f>
        <v>0</v>
      </c>
      <c r="I132" s="53"/>
      <c r="J132" s="55"/>
      <c r="K132" s="55"/>
      <c r="L132" s="55"/>
      <c r="M132" s="53"/>
      <c r="N132" s="53"/>
    </row>
    <row r="133" customFormat="false" ht="16.5" hidden="false" customHeight="true" outlineLevel="0" collapsed="false">
      <c r="A133" s="52" t="n">
        <v>5</v>
      </c>
      <c r="B133" s="53"/>
      <c r="C133" s="53"/>
      <c r="D133" s="53"/>
      <c r="E133" s="59"/>
      <c r="F133" s="59"/>
      <c r="G133" s="60"/>
      <c r="H133" s="57" t="n">
        <f aca="false">IFERROR(E133*G133,"")</f>
        <v>0</v>
      </c>
      <c r="I133" s="53"/>
      <c r="J133" s="55"/>
      <c r="K133" s="55"/>
      <c r="L133" s="55"/>
      <c r="M133" s="53"/>
      <c r="N133" s="53"/>
    </row>
    <row r="134" customFormat="false" ht="16.5" hidden="false" customHeight="true" outlineLevel="0" collapsed="false">
      <c r="A134" s="52" t="n">
        <v>6</v>
      </c>
      <c r="B134" s="53"/>
      <c r="C134" s="53"/>
      <c r="D134" s="53"/>
      <c r="E134" s="59"/>
      <c r="F134" s="59"/>
      <c r="G134" s="60"/>
      <c r="H134" s="57" t="n">
        <f aca="false">IFERROR(E134*G134,"")</f>
        <v>0</v>
      </c>
      <c r="I134" s="53"/>
      <c r="J134" s="55"/>
      <c r="K134" s="55"/>
      <c r="L134" s="55"/>
      <c r="M134" s="53"/>
      <c r="N134" s="53"/>
    </row>
    <row r="135" customFormat="false" ht="16.5" hidden="false" customHeight="true" outlineLevel="0" collapsed="false">
      <c r="A135" s="52" t="n">
        <v>7</v>
      </c>
      <c r="B135" s="53"/>
      <c r="C135" s="53"/>
      <c r="D135" s="53"/>
      <c r="E135" s="59"/>
      <c r="F135" s="59"/>
      <c r="G135" s="60"/>
      <c r="H135" s="57" t="n">
        <f aca="false">IFERROR(E135*G135,"")</f>
        <v>0</v>
      </c>
      <c r="I135" s="53"/>
      <c r="J135" s="55"/>
      <c r="K135" s="55"/>
      <c r="L135" s="55"/>
      <c r="M135" s="53"/>
      <c r="N135" s="53"/>
    </row>
    <row r="136" customFormat="false" ht="16.5" hidden="false" customHeight="true" outlineLevel="0" collapsed="false">
      <c r="A136" s="52" t="n">
        <v>8</v>
      </c>
      <c r="B136" s="53"/>
      <c r="C136" s="53"/>
      <c r="D136" s="53"/>
      <c r="E136" s="59"/>
      <c r="F136" s="59"/>
      <c r="G136" s="60"/>
      <c r="H136" s="57" t="n">
        <f aca="false">IFERROR(E136*G136,"")</f>
        <v>0</v>
      </c>
      <c r="I136" s="53"/>
      <c r="J136" s="55"/>
      <c r="K136" s="55"/>
      <c r="L136" s="55"/>
      <c r="M136" s="53"/>
      <c r="N136" s="53"/>
    </row>
    <row r="137" customFormat="false" ht="16.5" hidden="false" customHeight="true" outlineLevel="0" collapsed="false">
      <c r="A137" s="52" t="n">
        <v>9</v>
      </c>
      <c r="B137" s="53"/>
      <c r="C137" s="53"/>
      <c r="D137" s="53"/>
      <c r="E137" s="59"/>
      <c r="F137" s="59"/>
      <c r="G137" s="60"/>
      <c r="H137" s="57" t="n">
        <f aca="false">IFERROR(E137*G137,"")</f>
        <v>0</v>
      </c>
      <c r="I137" s="53"/>
      <c r="J137" s="55"/>
      <c r="K137" s="55"/>
      <c r="L137" s="55"/>
      <c r="M137" s="53"/>
      <c r="N137" s="53"/>
    </row>
    <row r="138" customFormat="false" ht="16.5" hidden="false" customHeight="true" outlineLevel="0" collapsed="false">
      <c r="A138" s="52" t="n">
        <v>10</v>
      </c>
      <c r="B138" s="53"/>
      <c r="C138" s="53"/>
      <c r="D138" s="53"/>
      <c r="E138" s="59"/>
      <c r="F138" s="59"/>
      <c r="G138" s="60"/>
      <c r="H138" s="57" t="n">
        <f aca="false">IFERROR(E138*G138,"")</f>
        <v>0</v>
      </c>
      <c r="I138" s="53"/>
      <c r="J138" s="55"/>
      <c r="K138" s="55"/>
      <c r="L138" s="55"/>
      <c r="M138" s="53"/>
      <c r="N138" s="53"/>
    </row>
    <row r="139" customFormat="false" ht="16.5" hidden="false" customHeight="true" outlineLevel="0" collapsed="false">
      <c r="A139" s="52" t="n">
        <v>11</v>
      </c>
      <c r="B139" s="53"/>
      <c r="C139" s="53"/>
      <c r="D139" s="53"/>
      <c r="E139" s="59"/>
      <c r="F139" s="59"/>
      <c r="G139" s="60"/>
      <c r="H139" s="57" t="n">
        <f aca="false">IFERROR(E139*G139,"")</f>
        <v>0</v>
      </c>
      <c r="I139" s="53"/>
      <c r="J139" s="55"/>
      <c r="K139" s="55"/>
      <c r="L139" s="55"/>
      <c r="M139" s="53"/>
      <c r="N139" s="53"/>
    </row>
    <row r="140" customFormat="false" ht="16.5" hidden="false" customHeight="true" outlineLevel="0" collapsed="false">
      <c r="A140" s="52" t="n">
        <v>12</v>
      </c>
      <c r="B140" s="53"/>
      <c r="C140" s="53"/>
      <c r="D140" s="53"/>
      <c r="E140" s="59"/>
      <c r="F140" s="59"/>
      <c r="G140" s="60"/>
      <c r="H140" s="57" t="n">
        <f aca="false">IFERROR(E140*G140,"")</f>
        <v>0</v>
      </c>
      <c r="I140" s="53"/>
      <c r="J140" s="55"/>
      <c r="K140" s="55"/>
      <c r="L140" s="55"/>
      <c r="M140" s="53"/>
      <c r="N140" s="53"/>
    </row>
    <row r="141" customFormat="false" ht="16.5" hidden="false" customHeight="true" outlineLevel="0" collapsed="false">
      <c r="A141" s="52" t="n">
        <v>13</v>
      </c>
      <c r="B141" s="53"/>
      <c r="C141" s="53"/>
      <c r="D141" s="53"/>
      <c r="E141" s="59"/>
      <c r="F141" s="59"/>
      <c r="G141" s="60"/>
      <c r="H141" s="57" t="n">
        <f aca="false">IFERROR(E141*G141,"")</f>
        <v>0</v>
      </c>
      <c r="I141" s="53"/>
      <c r="J141" s="55"/>
      <c r="K141" s="55"/>
      <c r="L141" s="55"/>
      <c r="M141" s="53"/>
      <c r="N141" s="53"/>
    </row>
    <row r="142" customFormat="false" ht="16.5" hidden="false" customHeight="true" outlineLevel="0" collapsed="false">
      <c r="A142" s="52" t="n">
        <v>14</v>
      </c>
      <c r="B142" s="53"/>
      <c r="C142" s="53"/>
      <c r="D142" s="53"/>
      <c r="E142" s="59"/>
      <c r="F142" s="59"/>
      <c r="G142" s="60"/>
      <c r="H142" s="57" t="n">
        <f aca="false">IFERROR(E142*G142,"")</f>
        <v>0</v>
      </c>
      <c r="I142" s="53"/>
      <c r="J142" s="55"/>
      <c r="K142" s="55"/>
      <c r="L142" s="55"/>
      <c r="M142" s="53"/>
      <c r="N142" s="53"/>
    </row>
    <row r="143" customFormat="false" ht="16.5" hidden="false" customHeight="true" outlineLevel="0" collapsed="false">
      <c r="A143" s="52" t="n">
        <v>15</v>
      </c>
      <c r="B143" s="53"/>
      <c r="C143" s="53"/>
      <c r="D143" s="53"/>
      <c r="E143" s="59"/>
      <c r="F143" s="59"/>
      <c r="G143" s="60"/>
      <c r="H143" s="57" t="n">
        <f aca="false">IFERROR(E143*G143,"")</f>
        <v>0</v>
      </c>
      <c r="I143" s="53"/>
      <c r="J143" s="55"/>
      <c r="K143" s="55"/>
      <c r="L143" s="55"/>
      <c r="M143" s="53"/>
      <c r="N143" s="53"/>
    </row>
    <row r="144" customFormat="false" ht="16.5" hidden="false" customHeight="true" outlineLevel="0" collapsed="false">
      <c r="A144" s="52" t="n">
        <v>16</v>
      </c>
      <c r="B144" s="53"/>
      <c r="C144" s="53"/>
      <c r="D144" s="53"/>
      <c r="E144" s="59"/>
      <c r="F144" s="59"/>
      <c r="G144" s="60"/>
      <c r="H144" s="57" t="n">
        <f aca="false">IFERROR(E144*G144,"")</f>
        <v>0</v>
      </c>
      <c r="I144" s="53"/>
      <c r="J144" s="55"/>
      <c r="K144" s="55"/>
      <c r="L144" s="55"/>
      <c r="M144" s="53"/>
      <c r="N144" s="53"/>
    </row>
    <row r="145" customFormat="false" ht="16.5" hidden="false" customHeight="true" outlineLevel="0" collapsed="false">
      <c r="A145" s="52" t="n">
        <v>17</v>
      </c>
      <c r="B145" s="53"/>
      <c r="C145" s="53"/>
      <c r="D145" s="53"/>
      <c r="E145" s="59"/>
      <c r="F145" s="59"/>
      <c r="G145" s="60"/>
      <c r="H145" s="57" t="n">
        <f aca="false">IFERROR(E145*G145,"")</f>
        <v>0</v>
      </c>
      <c r="I145" s="53"/>
      <c r="J145" s="55"/>
      <c r="K145" s="55"/>
      <c r="L145" s="55"/>
      <c r="M145" s="53"/>
      <c r="N145" s="53"/>
    </row>
    <row r="146" customFormat="false" ht="16.5" hidden="false" customHeight="true" outlineLevel="0" collapsed="false">
      <c r="A146" s="52" t="n">
        <v>18</v>
      </c>
      <c r="B146" s="53"/>
      <c r="C146" s="53"/>
      <c r="D146" s="53"/>
      <c r="E146" s="59"/>
      <c r="F146" s="59"/>
      <c r="G146" s="60"/>
      <c r="H146" s="57" t="n">
        <f aca="false">IFERROR(E146*G146,"")</f>
        <v>0</v>
      </c>
      <c r="I146" s="53"/>
      <c r="J146" s="55"/>
      <c r="K146" s="55"/>
      <c r="L146" s="55"/>
      <c r="M146" s="53"/>
      <c r="N146" s="53"/>
    </row>
    <row r="147" customFormat="false" ht="16.5" hidden="false" customHeight="true" outlineLevel="0" collapsed="false">
      <c r="A147" s="52" t="n">
        <v>19</v>
      </c>
      <c r="B147" s="53"/>
      <c r="C147" s="53"/>
      <c r="D147" s="53"/>
      <c r="E147" s="59"/>
      <c r="F147" s="59"/>
      <c r="G147" s="60"/>
      <c r="H147" s="57" t="n">
        <f aca="false">IFERROR(E147*G147,"")</f>
        <v>0</v>
      </c>
      <c r="I147" s="53"/>
      <c r="J147" s="55"/>
      <c r="K147" s="55"/>
      <c r="L147" s="55"/>
      <c r="M147" s="53"/>
      <c r="N147" s="53"/>
    </row>
    <row r="148" customFormat="false" ht="16.5" hidden="false" customHeight="true" outlineLevel="0" collapsed="false">
      <c r="A148" s="52" t="n">
        <v>20</v>
      </c>
      <c r="B148" s="53"/>
      <c r="C148" s="53"/>
      <c r="D148" s="53"/>
      <c r="E148" s="59"/>
      <c r="F148" s="59"/>
      <c r="G148" s="60"/>
      <c r="H148" s="57" t="n">
        <f aca="false">IFERROR(E148*G148,"")</f>
        <v>0</v>
      </c>
      <c r="I148" s="53"/>
      <c r="J148" s="55"/>
      <c r="K148" s="55"/>
      <c r="L148" s="55"/>
      <c r="M148" s="53"/>
      <c r="N148" s="53"/>
    </row>
    <row r="149" customFormat="false" ht="16.5" hidden="false" customHeight="true" outlineLevel="0" collapsed="false">
      <c r="A149" s="52" t="n">
        <v>21</v>
      </c>
      <c r="B149" s="53"/>
      <c r="C149" s="53"/>
      <c r="D149" s="53"/>
      <c r="E149" s="59"/>
      <c r="F149" s="59"/>
      <c r="G149" s="60"/>
      <c r="H149" s="57" t="n">
        <f aca="false">IFERROR(E149*G149,"")</f>
        <v>0</v>
      </c>
      <c r="I149" s="53"/>
      <c r="J149" s="55"/>
      <c r="K149" s="55"/>
      <c r="L149" s="55"/>
      <c r="M149" s="53"/>
      <c r="N149" s="53"/>
    </row>
    <row r="150" customFormat="false" ht="16.5" hidden="false" customHeight="true" outlineLevel="0" collapsed="false">
      <c r="A150" s="52" t="n">
        <v>22</v>
      </c>
      <c r="B150" s="53"/>
      <c r="C150" s="53"/>
      <c r="D150" s="53"/>
      <c r="E150" s="59"/>
      <c r="F150" s="59"/>
      <c r="G150" s="60"/>
      <c r="H150" s="57" t="n">
        <f aca="false">IFERROR(E150*G150,"")</f>
        <v>0</v>
      </c>
      <c r="I150" s="53"/>
      <c r="J150" s="55"/>
      <c r="K150" s="55"/>
      <c r="L150" s="55"/>
      <c r="M150" s="53"/>
      <c r="N150" s="53"/>
    </row>
    <row r="151" customFormat="false" ht="16.5" hidden="false" customHeight="true" outlineLevel="0" collapsed="false">
      <c r="A151" s="52" t="n">
        <v>23</v>
      </c>
      <c r="B151" s="53"/>
      <c r="C151" s="53"/>
      <c r="D151" s="53"/>
      <c r="E151" s="59"/>
      <c r="F151" s="59"/>
      <c r="G151" s="60"/>
      <c r="H151" s="57" t="n">
        <f aca="false">IFERROR(E151*G151,"")</f>
        <v>0</v>
      </c>
      <c r="I151" s="53"/>
      <c r="J151" s="55"/>
      <c r="K151" s="55"/>
      <c r="L151" s="55"/>
      <c r="M151" s="53"/>
      <c r="N151" s="53"/>
    </row>
    <row r="152" customFormat="false" ht="16.5" hidden="false" customHeight="true" outlineLevel="0" collapsed="false">
      <c r="A152" s="52" t="n">
        <v>24</v>
      </c>
      <c r="B152" s="53"/>
      <c r="C152" s="53"/>
      <c r="D152" s="53"/>
      <c r="E152" s="59"/>
      <c r="F152" s="59"/>
      <c r="G152" s="60"/>
      <c r="H152" s="57" t="n">
        <f aca="false">IFERROR(E152*G152,"")</f>
        <v>0</v>
      </c>
      <c r="I152" s="53"/>
      <c r="J152" s="55"/>
      <c r="K152" s="55"/>
      <c r="L152" s="55"/>
      <c r="M152" s="53"/>
      <c r="N152" s="53"/>
    </row>
    <row r="153" customFormat="false" ht="16.5" hidden="false" customHeight="true" outlineLevel="0" collapsed="false">
      <c r="A153" s="52" t="n">
        <v>25</v>
      </c>
      <c r="B153" s="53"/>
      <c r="C153" s="53"/>
      <c r="D153" s="53"/>
      <c r="E153" s="59"/>
      <c r="F153" s="59"/>
      <c r="G153" s="60"/>
      <c r="H153" s="57" t="n">
        <f aca="false">IFERROR(E153*G153,"")</f>
        <v>0</v>
      </c>
      <c r="I153" s="53"/>
      <c r="J153" s="55"/>
      <c r="K153" s="55"/>
      <c r="L153" s="55"/>
      <c r="M153" s="53"/>
      <c r="N153" s="53"/>
    </row>
    <row r="154" customFormat="false" ht="16.5" hidden="false" customHeight="true" outlineLevel="0" collapsed="false">
      <c r="A154" s="52" t="n">
        <v>26</v>
      </c>
      <c r="B154" s="53"/>
      <c r="C154" s="53"/>
      <c r="D154" s="53"/>
      <c r="E154" s="59"/>
      <c r="F154" s="59"/>
      <c r="G154" s="60"/>
      <c r="H154" s="57" t="n">
        <f aca="false">IFERROR(E154*G154,"")</f>
        <v>0</v>
      </c>
      <c r="I154" s="53"/>
      <c r="J154" s="55"/>
      <c r="K154" s="55"/>
      <c r="L154" s="55"/>
      <c r="M154" s="53"/>
      <c r="N154" s="53"/>
    </row>
    <row r="155" customFormat="false" ht="16.5" hidden="false" customHeight="true" outlineLevel="0" collapsed="false">
      <c r="A155" s="52" t="n">
        <v>27</v>
      </c>
      <c r="B155" s="53"/>
      <c r="C155" s="53"/>
      <c r="D155" s="53"/>
      <c r="E155" s="59"/>
      <c r="F155" s="59"/>
      <c r="G155" s="60"/>
      <c r="H155" s="57" t="n">
        <f aca="false">IFERROR(E155*G155,"")</f>
        <v>0</v>
      </c>
      <c r="I155" s="53"/>
      <c r="J155" s="55"/>
      <c r="K155" s="55"/>
      <c r="L155" s="55"/>
      <c r="M155" s="53"/>
      <c r="N155" s="53"/>
    </row>
    <row r="156" customFormat="false" ht="16.5" hidden="false" customHeight="true" outlineLevel="0" collapsed="false">
      <c r="A156" s="52" t="n">
        <v>28</v>
      </c>
      <c r="B156" s="53"/>
      <c r="C156" s="53"/>
      <c r="D156" s="53"/>
      <c r="E156" s="59"/>
      <c r="F156" s="59"/>
      <c r="G156" s="60"/>
      <c r="H156" s="57" t="n">
        <f aca="false">IFERROR(E156*G156,"")</f>
        <v>0</v>
      </c>
      <c r="I156" s="53"/>
      <c r="J156" s="55"/>
      <c r="K156" s="55"/>
      <c r="L156" s="55"/>
      <c r="M156" s="53"/>
      <c r="N156" s="53"/>
    </row>
    <row r="157" customFormat="false" ht="16.5" hidden="false" customHeight="true" outlineLevel="0" collapsed="false">
      <c r="A157" s="52" t="n">
        <v>29</v>
      </c>
      <c r="B157" s="53"/>
      <c r="C157" s="53"/>
      <c r="D157" s="53"/>
      <c r="E157" s="59"/>
      <c r="F157" s="59"/>
      <c r="G157" s="60"/>
      <c r="H157" s="57" t="n">
        <f aca="false">IFERROR(E157*G157,"")</f>
        <v>0</v>
      </c>
      <c r="I157" s="53"/>
      <c r="J157" s="55"/>
      <c r="K157" s="55"/>
      <c r="L157" s="55"/>
      <c r="M157" s="53"/>
      <c r="N157" s="53"/>
    </row>
    <row r="158" customFormat="false" ht="16.5" hidden="false" customHeight="true" outlineLevel="0" collapsed="false">
      <c r="A158" s="52" t="n">
        <v>30</v>
      </c>
      <c r="B158" s="53"/>
      <c r="C158" s="53"/>
      <c r="D158" s="53"/>
      <c r="E158" s="59"/>
      <c r="F158" s="59"/>
      <c r="G158" s="60"/>
      <c r="H158" s="57" t="n">
        <f aca="false">IFERROR(E158*G158,"")</f>
        <v>0</v>
      </c>
      <c r="I158" s="53"/>
      <c r="J158" s="55"/>
      <c r="K158" s="55"/>
      <c r="L158" s="55"/>
      <c r="M158" s="53"/>
      <c r="N158" s="53"/>
    </row>
    <row r="159" customFormat="false" ht="16.5" hidden="false" customHeight="true" outlineLevel="0" collapsed="false">
      <c r="A159" s="52" t="n">
        <v>31</v>
      </c>
      <c r="B159" s="53"/>
      <c r="C159" s="53"/>
      <c r="D159" s="53"/>
      <c r="E159" s="59"/>
      <c r="F159" s="59"/>
      <c r="G159" s="60"/>
      <c r="H159" s="57" t="n">
        <f aca="false">IFERROR(E159*G159,"")</f>
        <v>0</v>
      </c>
      <c r="I159" s="53"/>
      <c r="J159" s="55"/>
      <c r="K159" s="55"/>
      <c r="L159" s="55"/>
      <c r="M159" s="53"/>
      <c r="N159" s="53"/>
    </row>
    <row r="160" customFormat="false" ht="16.5" hidden="false" customHeight="true" outlineLevel="0" collapsed="false">
      <c r="A160" s="52" t="n">
        <v>32</v>
      </c>
      <c r="B160" s="53"/>
      <c r="C160" s="53"/>
      <c r="D160" s="53"/>
      <c r="E160" s="59"/>
      <c r="F160" s="59"/>
      <c r="G160" s="60"/>
      <c r="H160" s="57" t="n">
        <f aca="false">IFERROR(E160*G160,"")</f>
        <v>0</v>
      </c>
      <c r="I160" s="53"/>
      <c r="J160" s="55"/>
      <c r="K160" s="55"/>
      <c r="L160" s="55"/>
      <c r="M160" s="53"/>
      <c r="N160" s="53"/>
    </row>
    <row r="161" customFormat="false" ht="16.5" hidden="false" customHeight="true" outlineLevel="0" collapsed="false">
      <c r="A161" s="52" t="n">
        <v>33</v>
      </c>
      <c r="B161" s="53"/>
      <c r="C161" s="53"/>
      <c r="D161" s="53"/>
      <c r="E161" s="59"/>
      <c r="F161" s="59"/>
      <c r="G161" s="60"/>
      <c r="H161" s="57" t="n">
        <f aca="false">IFERROR(E161*G161,"")</f>
        <v>0</v>
      </c>
      <c r="I161" s="53"/>
      <c r="J161" s="55"/>
      <c r="K161" s="55"/>
      <c r="L161" s="55"/>
      <c r="M161" s="53"/>
      <c r="N161" s="53"/>
    </row>
    <row r="162" customFormat="false" ht="16.5" hidden="false" customHeight="true" outlineLevel="0" collapsed="false">
      <c r="A162" s="52" t="n">
        <v>34</v>
      </c>
      <c r="B162" s="53"/>
      <c r="C162" s="53"/>
      <c r="D162" s="53"/>
      <c r="E162" s="59"/>
      <c r="F162" s="59"/>
      <c r="G162" s="60"/>
      <c r="H162" s="57" t="n">
        <f aca="false">IFERROR(E162*G162,"")</f>
        <v>0</v>
      </c>
      <c r="I162" s="53"/>
      <c r="J162" s="55"/>
      <c r="K162" s="55"/>
      <c r="L162" s="55"/>
      <c r="M162" s="53"/>
      <c r="N162" s="53"/>
    </row>
    <row r="163" customFormat="false" ht="16.5" hidden="false" customHeight="true" outlineLevel="0" collapsed="false">
      <c r="A163" s="52" t="n">
        <v>35</v>
      </c>
      <c r="B163" s="53"/>
      <c r="C163" s="53"/>
      <c r="D163" s="53"/>
      <c r="E163" s="59"/>
      <c r="F163" s="59"/>
      <c r="G163" s="60"/>
      <c r="H163" s="57" t="n">
        <f aca="false">IFERROR(E163*G163,"")</f>
        <v>0</v>
      </c>
      <c r="I163" s="53"/>
      <c r="J163" s="55"/>
      <c r="K163" s="55"/>
      <c r="L163" s="55"/>
      <c r="M163" s="53"/>
      <c r="N163" s="53"/>
    </row>
    <row r="164" customFormat="false" ht="16.5" hidden="false" customHeight="true" outlineLevel="0" collapsed="false">
      <c r="A164" s="52" t="n">
        <v>36</v>
      </c>
      <c r="B164" s="53"/>
      <c r="C164" s="53"/>
      <c r="D164" s="53"/>
      <c r="E164" s="59"/>
      <c r="F164" s="59"/>
      <c r="G164" s="60"/>
      <c r="H164" s="57" t="n">
        <f aca="false">IFERROR(E164*G164,"")</f>
        <v>0</v>
      </c>
      <c r="I164" s="53"/>
      <c r="J164" s="55"/>
      <c r="K164" s="55"/>
      <c r="L164" s="55"/>
      <c r="M164" s="53"/>
      <c r="N164" s="53"/>
    </row>
    <row r="165" customFormat="false" ht="16.5" hidden="false" customHeight="true" outlineLevel="0" collapsed="false">
      <c r="A165" s="52" t="n">
        <v>37</v>
      </c>
      <c r="B165" s="53"/>
      <c r="C165" s="53"/>
      <c r="D165" s="53"/>
      <c r="E165" s="59"/>
      <c r="F165" s="59"/>
      <c r="G165" s="60"/>
      <c r="H165" s="57" t="n">
        <f aca="false">IFERROR(E165*G165,"")</f>
        <v>0</v>
      </c>
      <c r="I165" s="53"/>
      <c r="J165" s="55"/>
      <c r="K165" s="55"/>
      <c r="L165" s="55"/>
      <c r="M165" s="53"/>
      <c r="N165" s="53"/>
    </row>
    <row r="166" customFormat="false" ht="16.5" hidden="false" customHeight="true" outlineLevel="0" collapsed="false">
      <c r="A166" s="52" t="n">
        <v>38</v>
      </c>
      <c r="B166" s="53"/>
      <c r="C166" s="53"/>
      <c r="D166" s="53"/>
      <c r="E166" s="59"/>
      <c r="F166" s="59"/>
      <c r="G166" s="60"/>
      <c r="H166" s="57" t="n">
        <f aca="false">IFERROR(E166*G166,"")</f>
        <v>0</v>
      </c>
      <c r="I166" s="53"/>
      <c r="J166" s="55"/>
      <c r="K166" s="55"/>
      <c r="L166" s="55"/>
      <c r="M166" s="53"/>
      <c r="N166" s="53"/>
    </row>
    <row r="167" customFormat="false" ht="16.5" hidden="false" customHeight="true" outlineLevel="0" collapsed="false">
      <c r="A167" s="52" t="n">
        <v>39</v>
      </c>
      <c r="B167" s="53"/>
      <c r="C167" s="53"/>
      <c r="D167" s="53"/>
      <c r="E167" s="59"/>
      <c r="F167" s="59"/>
      <c r="G167" s="60"/>
      <c r="H167" s="57" t="n">
        <f aca="false">IFERROR(E167*G167,"")</f>
        <v>0</v>
      </c>
      <c r="I167" s="53"/>
      <c r="J167" s="55"/>
      <c r="K167" s="55"/>
      <c r="L167" s="55"/>
      <c r="M167" s="53"/>
      <c r="N167" s="53"/>
    </row>
    <row r="168" customFormat="false" ht="16.5" hidden="false" customHeight="true" outlineLevel="0" collapsed="false">
      <c r="A168" s="52" t="n">
        <v>40</v>
      </c>
      <c r="B168" s="53"/>
      <c r="C168" s="53"/>
      <c r="D168" s="53"/>
      <c r="E168" s="59"/>
      <c r="F168" s="59"/>
      <c r="G168" s="60"/>
      <c r="H168" s="57" t="n">
        <f aca="false">IFERROR(E168*G168,"")</f>
        <v>0</v>
      </c>
      <c r="I168" s="53"/>
      <c r="J168" s="55"/>
      <c r="K168" s="55"/>
      <c r="L168" s="55"/>
      <c r="M168" s="53"/>
      <c r="N168" s="53"/>
    </row>
    <row r="169" customFormat="false" ht="16.5" hidden="false" customHeight="true" outlineLevel="0" collapsed="false">
      <c r="A169" s="52" t="n">
        <v>41</v>
      </c>
      <c r="B169" s="53"/>
      <c r="C169" s="53"/>
      <c r="D169" s="53"/>
      <c r="E169" s="59"/>
      <c r="F169" s="59"/>
      <c r="G169" s="60"/>
      <c r="H169" s="57" t="n">
        <f aca="false">IFERROR(E169*G169,"")</f>
        <v>0</v>
      </c>
      <c r="I169" s="53"/>
      <c r="J169" s="55"/>
      <c r="K169" s="55"/>
      <c r="L169" s="55"/>
      <c r="M169" s="53"/>
      <c r="N169" s="53"/>
    </row>
    <row r="170" customFormat="false" ht="16.5" hidden="false" customHeight="true" outlineLevel="0" collapsed="false">
      <c r="A170" s="52" t="n">
        <v>42</v>
      </c>
      <c r="B170" s="53"/>
      <c r="C170" s="53"/>
      <c r="D170" s="53"/>
      <c r="E170" s="59"/>
      <c r="F170" s="59"/>
      <c r="G170" s="60"/>
      <c r="H170" s="57" t="n">
        <f aca="false">IFERROR(E170*G170,"")</f>
        <v>0</v>
      </c>
      <c r="I170" s="53"/>
      <c r="J170" s="55"/>
      <c r="K170" s="55"/>
      <c r="L170" s="55"/>
      <c r="M170" s="53"/>
      <c r="N170" s="53"/>
    </row>
    <row r="171" customFormat="false" ht="16.5" hidden="false" customHeight="true" outlineLevel="0" collapsed="false">
      <c r="A171" s="52" t="n">
        <v>43</v>
      </c>
      <c r="B171" s="53"/>
      <c r="C171" s="53"/>
      <c r="D171" s="53"/>
      <c r="E171" s="59"/>
      <c r="F171" s="59"/>
      <c r="G171" s="60"/>
      <c r="H171" s="57" t="n">
        <f aca="false">IFERROR(E171*G171,"")</f>
        <v>0</v>
      </c>
      <c r="I171" s="53"/>
      <c r="J171" s="55"/>
      <c r="K171" s="55"/>
      <c r="L171" s="55"/>
      <c r="M171" s="53"/>
      <c r="N171" s="53"/>
    </row>
    <row r="172" customFormat="false" ht="16.5" hidden="false" customHeight="true" outlineLevel="0" collapsed="false">
      <c r="A172" s="52" t="n">
        <v>44</v>
      </c>
      <c r="B172" s="53"/>
      <c r="C172" s="53"/>
      <c r="D172" s="53"/>
      <c r="E172" s="59"/>
      <c r="F172" s="59"/>
      <c r="G172" s="60"/>
      <c r="H172" s="57" t="n">
        <f aca="false">IFERROR(E172*G172,"")</f>
        <v>0</v>
      </c>
      <c r="I172" s="53"/>
      <c r="J172" s="55"/>
      <c r="K172" s="55"/>
      <c r="L172" s="55"/>
      <c r="M172" s="53"/>
      <c r="N172" s="53"/>
    </row>
    <row r="173" customFormat="false" ht="16.5" hidden="false" customHeight="true" outlineLevel="0" collapsed="false">
      <c r="A173" s="52" t="n">
        <v>45</v>
      </c>
      <c r="B173" s="53"/>
      <c r="C173" s="53"/>
      <c r="D173" s="53"/>
      <c r="E173" s="59"/>
      <c r="F173" s="59"/>
      <c r="G173" s="60"/>
      <c r="H173" s="57" t="n">
        <f aca="false">IFERROR(E173*G173,"")</f>
        <v>0</v>
      </c>
      <c r="I173" s="53"/>
      <c r="J173" s="55"/>
      <c r="K173" s="55"/>
      <c r="L173" s="55"/>
      <c r="M173" s="53"/>
      <c r="N173" s="53"/>
    </row>
    <row r="174" customFormat="false" ht="16.5" hidden="false" customHeight="true" outlineLevel="0" collapsed="false">
      <c r="A174" s="52" t="n">
        <v>46</v>
      </c>
      <c r="B174" s="53"/>
      <c r="C174" s="53"/>
      <c r="D174" s="53"/>
      <c r="E174" s="59"/>
      <c r="F174" s="59"/>
      <c r="G174" s="60"/>
      <c r="H174" s="57" t="n">
        <f aca="false">IFERROR(E174*G174,"")</f>
        <v>0</v>
      </c>
      <c r="I174" s="53"/>
      <c r="J174" s="55"/>
      <c r="K174" s="55"/>
      <c r="L174" s="55"/>
      <c r="M174" s="53"/>
      <c r="N174" s="53"/>
    </row>
    <row r="175" customFormat="false" ht="16.5" hidden="false" customHeight="true" outlineLevel="0" collapsed="false">
      <c r="A175" s="52" t="n">
        <v>47</v>
      </c>
      <c r="B175" s="53"/>
      <c r="C175" s="53"/>
      <c r="D175" s="53"/>
      <c r="E175" s="59"/>
      <c r="F175" s="59"/>
      <c r="G175" s="60"/>
      <c r="H175" s="57" t="n">
        <f aca="false">IFERROR(E175*G175,"")</f>
        <v>0</v>
      </c>
      <c r="I175" s="53"/>
      <c r="J175" s="55"/>
      <c r="K175" s="55"/>
      <c r="L175" s="55"/>
      <c r="M175" s="53"/>
      <c r="N175" s="53"/>
    </row>
    <row r="176" customFormat="false" ht="16.5" hidden="false" customHeight="true" outlineLevel="0" collapsed="false">
      <c r="A176" s="52" t="n">
        <v>48</v>
      </c>
      <c r="B176" s="53"/>
      <c r="C176" s="53"/>
      <c r="D176" s="53"/>
      <c r="E176" s="59"/>
      <c r="F176" s="59"/>
      <c r="G176" s="60"/>
      <c r="H176" s="57" t="n">
        <f aca="false">IFERROR(E176*G176,"")</f>
        <v>0</v>
      </c>
      <c r="I176" s="53"/>
      <c r="J176" s="55"/>
      <c r="K176" s="55"/>
      <c r="L176" s="55"/>
      <c r="M176" s="53"/>
      <c r="N176" s="53"/>
    </row>
    <row r="177" customFormat="false" ht="16.5" hidden="false" customHeight="true" outlineLevel="0" collapsed="false">
      <c r="A177" s="52" t="n">
        <v>49</v>
      </c>
      <c r="B177" s="53"/>
      <c r="C177" s="53"/>
      <c r="D177" s="53"/>
      <c r="E177" s="59"/>
      <c r="F177" s="59"/>
      <c r="G177" s="60"/>
      <c r="H177" s="57" t="n">
        <f aca="false">IFERROR(E177*G177,"")</f>
        <v>0</v>
      </c>
      <c r="I177" s="53"/>
      <c r="J177" s="55"/>
      <c r="K177" s="55"/>
      <c r="L177" s="55"/>
      <c r="M177" s="53"/>
      <c r="N177" s="53"/>
    </row>
    <row r="178" customFormat="false" ht="16.5" hidden="false" customHeight="true" outlineLevel="0" collapsed="false">
      <c r="A178" s="52" t="n">
        <v>50</v>
      </c>
      <c r="B178" s="53"/>
      <c r="C178" s="53"/>
      <c r="D178" s="53"/>
      <c r="E178" s="59"/>
      <c r="F178" s="59"/>
      <c r="G178" s="60"/>
      <c r="H178" s="57" t="n">
        <f aca="false">IFERROR(E178*G178,"")</f>
        <v>0</v>
      </c>
      <c r="I178" s="53"/>
      <c r="J178" s="55"/>
      <c r="K178" s="55"/>
      <c r="L178" s="55"/>
      <c r="M178" s="53"/>
      <c r="N178" s="53"/>
    </row>
    <row r="179" customFormat="false" ht="15" hidden="false" customHeight="true" outlineLevel="0" collapsed="false">
      <c r="A179" s="56" t="s">
        <v>260</v>
      </c>
      <c r="B179" s="56"/>
      <c r="C179" s="56"/>
      <c r="D179" s="56"/>
      <c r="E179" s="61" t="n">
        <f aca="false">IFERROR(SUM(E129:E178),0)</f>
        <v>0</v>
      </c>
      <c r="F179" s="61" t="n">
        <f aca="false">IFERROR(SUM(F129:F178),0)</f>
        <v>0</v>
      </c>
      <c r="G179" s="62" t="s">
        <v>298</v>
      </c>
      <c r="H179" s="57" t="n">
        <f aca="false">IFERROR(SUM(H129:H178),0)</f>
        <v>0</v>
      </c>
    </row>
    <row r="180" customFormat="false" ht="19.5" hidden="false" customHeight="true" outlineLevel="0" collapsed="false">
      <c r="A180" s="27" t="s">
        <v>299</v>
      </c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</row>
  </sheetData>
  <mergeCells count="16">
    <mergeCell ref="A1:D1"/>
    <mergeCell ref="A2:D2"/>
    <mergeCell ref="A5:D5"/>
    <mergeCell ref="A24:D24"/>
    <mergeCell ref="A34:D34"/>
    <mergeCell ref="A43:D43"/>
    <mergeCell ref="A54:D54"/>
    <mergeCell ref="A68:D68"/>
    <mergeCell ref="A74:D74"/>
    <mergeCell ref="A85:D85"/>
    <mergeCell ref="A86:D86"/>
    <mergeCell ref="A89:I89"/>
    <mergeCell ref="A126:E126"/>
    <mergeCell ref="A127:E127"/>
    <mergeCell ref="A179:D179"/>
    <mergeCell ref="A180:N180"/>
  </mergeCells>
  <dataValidations count="181">
    <dataValidation allowBlank="true" error="Select a valid option from the list." errorStyle="stop" errorTitle="Invalid Input" operator="between" showDropDown="false" showErrorMessage="true" showInputMessage="false" sqref="B6" type="list">
      <formula1>"On Track,At Risk,Delayed,Not Started,Completed"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70" type="list">
      <formula1>"Low,Medium,High,Critical"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71" type="list">
      <formula1>"Green,Amber,Red"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76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77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78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79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80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81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82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83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1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1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2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2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3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3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4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4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5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5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6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6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7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7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8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8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9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9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0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0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1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1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2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2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3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3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4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4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5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5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6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6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7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7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8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8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9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9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0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0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1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1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2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2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3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3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4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4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5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5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6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6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7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7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8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8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9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9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20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20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21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21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22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22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23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23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24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24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25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25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29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29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0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0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1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1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2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2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3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3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4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4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5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5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6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6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7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7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8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8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9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9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0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0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1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1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2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2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3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3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4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4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5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5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6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6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7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7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8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8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9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9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0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0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1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1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2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2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3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3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4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4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5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5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6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6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7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7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8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8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9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9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0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0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1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1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2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2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3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3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4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4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5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5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6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6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7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7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8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8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9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9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0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0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1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1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2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2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3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3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4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4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5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5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6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6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7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7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8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8" type="list">
      <formula1>"Pending,Confirmed,In Production,Shipped,Delivered,On Hold,Cancelled"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4"/>
    <col collapsed="false" customWidth="true" hidden="false" outlineLevel="0" max="3" min="3" style="1" width="10"/>
    <col collapsed="false" customWidth="true" hidden="false" outlineLevel="0" max="4" min="4" style="1" width="38"/>
    <col collapsed="false" customWidth="true" hidden="false" outlineLevel="0" max="5" min="5" style="1" width="20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8"/>
    <col collapsed="false" customWidth="true" hidden="false" outlineLevel="0" max="9" min="9" style="1" width="20"/>
    <col collapsed="false" customWidth="true" hidden="false" outlineLevel="0" max="10" min="10" style="1" width="13"/>
    <col collapsed="false" customWidth="true" hidden="false" outlineLevel="0" max="12" min="11" style="1" width="14"/>
    <col collapsed="false" customWidth="true" hidden="false" outlineLevel="0" max="13" min="13" style="1" width="16"/>
    <col collapsed="false" customWidth="true" hidden="false" outlineLevel="0" max="14" min="14" style="1" width="26"/>
  </cols>
  <sheetData>
    <row r="1" customFormat="false" ht="21.75" hidden="false" customHeight="true" outlineLevel="0" collapsed="false">
      <c r="A1" s="2" t="s">
        <v>347</v>
      </c>
      <c r="B1" s="2"/>
      <c r="C1" s="2"/>
      <c r="D1" s="2"/>
    </row>
    <row r="2" customFormat="false" ht="16.5" hidden="false" customHeight="true" outlineLevel="0" collapsed="false">
      <c r="A2" s="3" t="s">
        <v>87</v>
      </c>
      <c r="B2" s="3"/>
      <c r="C2" s="3"/>
      <c r="D2" s="3"/>
    </row>
    <row r="3" customFormat="false" ht="16.5" hidden="false" customHeight="true" outlineLevel="0" collapsed="false">
      <c r="A3" s="28" t="s">
        <v>88</v>
      </c>
      <c r="B3" s="29"/>
      <c r="C3" s="30" t="s">
        <v>89</v>
      </c>
      <c r="D3" s="31"/>
    </row>
    <row r="4" customFormat="false" ht="4.5" hidden="false" customHeight="true" outlineLevel="0" collapsed="false"/>
    <row r="5" customFormat="false" ht="19.5" hidden="false" customHeight="true" outlineLevel="0" collapsed="false">
      <c r="A5" s="32" t="s">
        <v>90</v>
      </c>
      <c r="B5" s="32"/>
      <c r="C5" s="32"/>
      <c r="D5" s="32"/>
    </row>
    <row r="6" customFormat="false" ht="18" hidden="false" customHeight="true" outlineLevel="0" collapsed="false">
      <c r="A6" s="33" t="s">
        <v>91</v>
      </c>
      <c r="B6" s="34"/>
      <c r="C6" s="35"/>
      <c r="D6" s="36" t="s">
        <v>93</v>
      </c>
    </row>
    <row r="7" customFormat="false" ht="18" hidden="false" customHeight="true" outlineLevel="0" collapsed="false">
      <c r="A7" s="37" t="s">
        <v>94</v>
      </c>
      <c r="B7" s="38"/>
      <c r="C7" s="35" t="s">
        <v>95</v>
      </c>
      <c r="D7" s="36" t="s">
        <v>96</v>
      </c>
    </row>
    <row r="8" customFormat="false" ht="18" hidden="false" customHeight="true" outlineLevel="0" collapsed="false">
      <c r="A8" s="33" t="s">
        <v>97</v>
      </c>
      <c r="B8" s="39" t="n">
        <f aca="false">IFERROR(SUMIF(H91:H125,"Spent",F91:F125),0)</f>
        <v>0</v>
      </c>
      <c r="C8" s="35" t="s">
        <v>95</v>
      </c>
      <c r="D8" s="36" t="s">
        <v>98</v>
      </c>
    </row>
    <row r="9" customFormat="false" ht="18" hidden="false" customHeight="true" outlineLevel="0" collapsed="false">
      <c r="A9" s="37" t="s">
        <v>99</v>
      </c>
      <c r="B9" s="39" t="n">
        <f aca="false">IFERROR(SUMIF(H91:H125,"Committed",F91:F125),0)</f>
        <v>0</v>
      </c>
      <c r="C9" s="35" t="s">
        <v>95</v>
      </c>
      <c r="D9" s="36" t="s">
        <v>98</v>
      </c>
    </row>
    <row r="10" customFormat="false" ht="18" hidden="false" customHeight="true" outlineLevel="0" collapsed="false">
      <c r="A10" s="33" t="s">
        <v>100</v>
      </c>
      <c r="B10" s="40" t="n">
        <f aca="false">IFERROR(B7-B8-B9,"")</f>
        <v>0</v>
      </c>
      <c r="C10" s="35" t="s">
        <v>95</v>
      </c>
      <c r="D10" s="36" t="s">
        <v>101</v>
      </c>
    </row>
    <row r="11" customFormat="false" ht="18" hidden="false" customHeight="true" outlineLevel="0" collapsed="false">
      <c r="A11" s="37" t="s">
        <v>102</v>
      </c>
      <c r="B11" s="41" t="str">
        <f aca="false">IFERROR(B8/B7,"")</f>
        <v/>
      </c>
      <c r="C11" s="35" t="s">
        <v>103</v>
      </c>
      <c r="D11" s="36" t="s">
        <v>104</v>
      </c>
    </row>
    <row r="12" customFormat="false" ht="18" hidden="false" customHeight="true" outlineLevel="0" collapsed="false">
      <c r="A12" s="33" t="s">
        <v>105</v>
      </c>
      <c r="B12" s="42"/>
      <c r="C12" s="35" t="s">
        <v>106</v>
      </c>
      <c r="D12" s="36" t="s">
        <v>107</v>
      </c>
    </row>
    <row r="13" customFormat="false" ht="18" hidden="false" customHeight="true" outlineLevel="0" collapsed="false">
      <c r="A13" s="37" t="s">
        <v>108</v>
      </c>
      <c r="B13" s="42"/>
      <c r="C13" s="35" t="s">
        <v>106</v>
      </c>
      <c r="D13" s="36" t="s">
        <v>109</v>
      </c>
    </row>
    <row r="14" customFormat="false" ht="18" hidden="false" customHeight="true" outlineLevel="0" collapsed="false">
      <c r="A14" s="33" t="s">
        <v>110</v>
      </c>
      <c r="B14" s="41" t="str">
        <f aca="false">IFERROR(B13/B12,"")</f>
        <v/>
      </c>
      <c r="C14" s="35" t="s">
        <v>103</v>
      </c>
      <c r="D14" s="36" t="s">
        <v>104</v>
      </c>
    </row>
    <row r="15" customFormat="false" ht="18" hidden="false" customHeight="true" outlineLevel="0" collapsed="false">
      <c r="A15" s="37" t="s">
        <v>111</v>
      </c>
      <c r="B15" s="31"/>
      <c r="C15" s="35" t="s">
        <v>112</v>
      </c>
      <c r="D15" s="36" t="s">
        <v>113</v>
      </c>
    </row>
    <row r="16" customFormat="false" ht="18" hidden="false" customHeight="true" outlineLevel="0" collapsed="false">
      <c r="A16" s="33" t="s">
        <v>114</v>
      </c>
      <c r="B16" s="31"/>
      <c r="C16" s="35" t="s">
        <v>112</v>
      </c>
      <c r="D16" s="36" t="s">
        <v>115</v>
      </c>
    </row>
    <row r="17" customFormat="false" ht="18" hidden="false" customHeight="true" outlineLevel="0" collapsed="false">
      <c r="A17" s="37" t="s">
        <v>116</v>
      </c>
      <c r="B17" s="41" t="str">
        <f aca="false">IFERROR(B16/B15,"")</f>
        <v/>
      </c>
      <c r="C17" s="35" t="s">
        <v>103</v>
      </c>
      <c r="D17" s="36" t="s">
        <v>104</v>
      </c>
    </row>
    <row r="18" customFormat="false" ht="18" hidden="false" customHeight="true" outlineLevel="0" collapsed="false">
      <c r="A18" s="33" t="s">
        <v>117</v>
      </c>
      <c r="B18" s="29"/>
      <c r="C18" s="35" t="s">
        <v>118</v>
      </c>
      <c r="D18" s="36" t="s">
        <v>119</v>
      </c>
    </row>
    <row r="19" customFormat="false" ht="18" hidden="false" customHeight="true" outlineLevel="0" collapsed="false">
      <c r="A19" s="37" t="s">
        <v>120</v>
      </c>
      <c r="B19" s="29"/>
      <c r="C19" s="35" t="s">
        <v>118</v>
      </c>
      <c r="D19" s="36" t="s">
        <v>121</v>
      </c>
    </row>
    <row r="20" customFormat="false" ht="18" hidden="false" customHeight="true" outlineLevel="0" collapsed="false">
      <c r="A20" s="33" t="s">
        <v>122</v>
      </c>
      <c r="B20" s="29"/>
      <c r="C20" s="35" t="s">
        <v>118</v>
      </c>
      <c r="D20" s="36" t="s">
        <v>123</v>
      </c>
    </row>
    <row r="21" customFormat="false" ht="18" hidden="false" customHeight="true" outlineLevel="0" collapsed="false">
      <c r="A21" s="37" t="s">
        <v>124</v>
      </c>
      <c r="B21" s="31"/>
      <c r="C21" s="35"/>
      <c r="D21" s="36" t="s">
        <v>126</v>
      </c>
    </row>
    <row r="22" customFormat="false" ht="18" hidden="false" customHeight="true" outlineLevel="0" collapsed="false">
      <c r="A22" s="33" t="s">
        <v>127</v>
      </c>
      <c r="B22" s="31"/>
      <c r="C22" s="35"/>
      <c r="D22" s="36" t="s">
        <v>129</v>
      </c>
    </row>
    <row r="23" customFormat="false" ht="4.5" hidden="false" customHeight="true" outlineLevel="0" collapsed="false"/>
    <row r="24" customFormat="false" ht="19.5" hidden="false" customHeight="true" outlineLevel="0" collapsed="false">
      <c r="A24" s="32" t="s">
        <v>130</v>
      </c>
      <c r="B24" s="32"/>
      <c r="C24" s="32"/>
      <c r="D24" s="32"/>
    </row>
    <row r="25" customFormat="false" ht="16.5" hidden="false" customHeight="true" outlineLevel="0" collapsed="false">
      <c r="A25" s="37" t="s">
        <v>131</v>
      </c>
      <c r="B25" s="31"/>
      <c r="C25" s="35" t="s">
        <v>133</v>
      </c>
      <c r="D25" s="36" t="s">
        <v>134</v>
      </c>
    </row>
    <row r="26" customFormat="false" ht="16.5" hidden="false" customHeight="true" outlineLevel="0" collapsed="false">
      <c r="A26" s="33" t="s">
        <v>135</v>
      </c>
      <c r="B26" s="31"/>
      <c r="C26" s="35" t="s">
        <v>133</v>
      </c>
      <c r="D26" s="36" t="s">
        <v>134</v>
      </c>
    </row>
    <row r="27" customFormat="false" ht="16.5" hidden="false" customHeight="true" outlineLevel="0" collapsed="false">
      <c r="A27" s="37" t="s">
        <v>137</v>
      </c>
      <c r="B27" s="31"/>
      <c r="C27" s="35" t="s">
        <v>133</v>
      </c>
      <c r="D27" s="36" t="s">
        <v>134</v>
      </c>
    </row>
    <row r="28" customFormat="false" ht="16.5" hidden="false" customHeight="true" outlineLevel="0" collapsed="false">
      <c r="A28" s="33" t="s">
        <v>139</v>
      </c>
      <c r="B28" s="31"/>
      <c r="C28" s="35" t="s">
        <v>133</v>
      </c>
      <c r="D28" s="36" t="s">
        <v>134</v>
      </c>
    </row>
    <row r="29" customFormat="false" ht="16.5" hidden="false" customHeight="true" outlineLevel="0" collapsed="false">
      <c r="A29" s="37" t="s">
        <v>141</v>
      </c>
      <c r="B29" s="31"/>
      <c r="C29" s="35" t="s">
        <v>133</v>
      </c>
      <c r="D29" s="36" t="s">
        <v>134</v>
      </c>
    </row>
    <row r="30" customFormat="false" ht="16.5" hidden="false" customHeight="true" outlineLevel="0" collapsed="false">
      <c r="A30" s="33" t="s">
        <v>143</v>
      </c>
      <c r="B30" s="31"/>
      <c r="C30" s="35" t="s">
        <v>133</v>
      </c>
      <c r="D30" s="36" t="s">
        <v>134</v>
      </c>
    </row>
    <row r="31" customFormat="false" ht="16.5" hidden="false" customHeight="true" outlineLevel="0" collapsed="false">
      <c r="A31" s="37" t="s">
        <v>144</v>
      </c>
      <c r="B31" s="31"/>
      <c r="C31" s="35" t="s">
        <v>133</v>
      </c>
      <c r="D31" s="36" t="s">
        <v>134</v>
      </c>
    </row>
    <row r="32" customFormat="false" ht="16.5" hidden="false" customHeight="true" outlineLevel="0" collapsed="false">
      <c r="A32" s="33" t="s">
        <v>145</v>
      </c>
      <c r="B32" s="31"/>
      <c r="C32" s="35" t="s">
        <v>133</v>
      </c>
      <c r="D32" s="36" t="s">
        <v>134</v>
      </c>
    </row>
    <row r="33" customFormat="false" ht="4.5" hidden="false" customHeight="true" outlineLevel="0" collapsed="false"/>
    <row r="34" customFormat="false" ht="19.5" hidden="false" customHeight="true" outlineLevel="0" collapsed="false">
      <c r="A34" s="32" t="s">
        <v>146</v>
      </c>
      <c r="B34" s="32"/>
      <c r="C34" s="32"/>
      <c r="D34" s="32"/>
    </row>
    <row r="35" customFormat="false" ht="18" hidden="false" customHeight="true" outlineLevel="0" collapsed="false">
      <c r="A35" s="33" t="s">
        <v>147</v>
      </c>
      <c r="B35" s="40" t="n">
        <f aca="false">IFERROR(COUNTIF(M129:M178,"Pending"),0)</f>
        <v>0</v>
      </c>
      <c r="C35" s="35" t="s">
        <v>106</v>
      </c>
      <c r="D35" s="36" t="s">
        <v>148</v>
      </c>
    </row>
    <row r="36" customFormat="false" ht="18" hidden="false" customHeight="true" outlineLevel="0" collapsed="false">
      <c r="A36" s="37" t="s">
        <v>149</v>
      </c>
      <c r="B36" s="40" t="n">
        <f aca="false">IFERROR(COUNTIF(M129:M178,"Confirmed"),0)</f>
        <v>0</v>
      </c>
      <c r="C36" s="35" t="s">
        <v>106</v>
      </c>
      <c r="D36" s="36" t="s">
        <v>148</v>
      </c>
    </row>
    <row r="37" customFormat="false" ht="18" hidden="false" customHeight="true" outlineLevel="0" collapsed="false">
      <c r="A37" s="33" t="s">
        <v>150</v>
      </c>
      <c r="B37" s="40" t="n">
        <f aca="false">IFERROR(COUNTIF(M129:M178,"In Production"),0)</f>
        <v>0</v>
      </c>
      <c r="C37" s="35" t="s">
        <v>106</v>
      </c>
      <c r="D37" s="36" t="s">
        <v>148</v>
      </c>
    </row>
    <row r="38" customFormat="false" ht="18" hidden="false" customHeight="true" outlineLevel="0" collapsed="false">
      <c r="A38" s="37" t="s">
        <v>151</v>
      </c>
      <c r="B38" s="40" t="n">
        <f aca="false">IFERROR(COUNTIF(M129:M178,"Shipped"),0)</f>
        <v>0</v>
      </c>
      <c r="C38" s="35" t="s">
        <v>106</v>
      </c>
      <c r="D38" s="36" t="s">
        <v>148</v>
      </c>
    </row>
    <row r="39" customFormat="false" ht="18" hidden="false" customHeight="true" outlineLevel="0" collapsed="false">
      <c r="A39" s="33" t="s">
        <v>152</v>
      </c>
      <c r="B39" s="40" t="n">
        <f aca="false">IFERROR(COUNTIF(M129:M178,"Delivered"),0)</f>
        <v>0</v>
      </c>
      <c r="C39" s="35" t="s">
        <v>106</v>
      </c>
      <c r="D39" s="36" t="s">
        <v>148</v>
      </c>
    </row>
    <row r="40" customFormat="false" ht="18" hidden="false" customHeight="true" outlineLevel="0" collapsed="false">
      <c r="A40" s="37" t="s">
        <v>153</v>
      </c>
      <c r="B40" s="40" t="n">
        <f aca="false">IFERROR(SUM(B35:B39),0)</f>
        <v>0</v>
      </c>
      <c r="C40" s="35" t="s">
        <v>106</v>
      </c>
      <c r="D40" s="36" t="s">
        <v>154</v>
      </c>
    </row>
    <row r="41" customFormat="false" ht="18" hidden="false" customHeight="true" outlineLevel="0" collapsed="false">
      <c r="A41" s="33" t="s">
        <v>155</v>
      </c>
      <c r="B41" s="43"/>
      <c r="C41" s="35" t="s">
        <v>103</v>
      </c>
      <c r="D41" s="36" t="s">
        <v>156</v>
      </c>
    </row>
    <row r="42" customFormat="false" ht="4.5" hidden="false" customHeight="true" outlineLevel="0" collapsed="false"/>
    <row r="43" customFormat="false" ht="19.5" hidden="false" customHeight="true" outlineLevel="0" collapsed="false">
      <c r="A43" s="32" t="s">
        <v>157</v>
      </c>
      <c r="B43" s="32"/>
      <c r="C43" s="32"/>
      <c r="D43" s="32"/>
    </row>
    <row r="44" customFormat="false" ht="18" hidden="false" customHeight="true" outlineLevel="0" collapsed="false">
      <c r="A44" s="33" t="s">
        <v>158</v>
      </c>
      <c r="B44" s="42"/>
      <c r="C44" s="35" t="s">
        <v>159</v>
      </c>
      <c r="D44" s="36" t="s">
        <v>160</v>
      </c>
    </row>
    <row r="45" customFormat="false" ht="18" hidden="false" customHeight="true" outlineLevel="0" collapsed="false">
      <c r="A45" s="37" t="s">
        <v>161</v>
      </c>
      <c r="B45" s="42"/>
      <c r="C45" s="35" t="s">
        <v>159</v>
      </c>
      <c r="D45" s="36" t="s">
        <v>162</v>
      </c>
    </row>
    <row r="46" customFormat="false" ht="18" hidden="false" customHeight="true" outlineLevel="0" collapsed="false">
      <c r="A46" s="33" t="s">
        <v>163</v>
      </c>
      <c r="B46" s="40" t="n">
        <f aca="false">IFERROR(B44+B45,"")</f>
        <v>0</v>
      </c>
      <c r="C46" s="35" t="s">
        <v>159</v>
      </c>
      <c r="D46" s="36" t="s">
        <v>104</v>
      </c>
    </row>
    <row r="47" customFormat="false" ht="18" hidden="false" customHeight="true" outlineLevel="0" collapsed="false">
      <c r="A47" s="37" t="s">
        <v>164</v>
      </c>
      <c r="B47" s="42"/>
      <c r="C47" s="35" t="s">
        <v>159</v>
      </c>
      <c r="D47" s="36" t="s">
        <v>165</v>
      </c>
    </row>
    <row r="48" customFormat="false" ht="18" hidden="false" customHeight="true" outlineLevel="0" collapsed="false">
      <c r="A48" s="33" t="s">
        <v>166</v>
      </c>
      <c r="B48" s="41" t="str">
        <f aca="false">IFERROR((B44+B45)/B47,"")</f>
        <v/>
      </c>
      <c r="C48" s="35" t="s">
        <v>103</v>
      </c>
      <c r="D48" s="36" t="s">
        <v>104</v>
      </c>
    </row>
    <row r="49" customFormat="false" ht="18" hidden="false" customHeight="true" outlineLevel="0" collapsed="false">
      <c r="A49" s="37" t="s">
        <v>167</v>
      </c>
      <c r="B49" s="31"/>
      <c r="C49" s="35" t="s">
        <v>169</v>
      </c>
      <c r="D49" s="36" t="s">
        <v>170</v>
      </c>
    </row>
    <row r="50" customFormat="false" ht="18" hidden="false" customHeight="true" outlineLevel="0" collapsed="false">
      <c r="A50" s="33" t="s">
        <v>171</v>
      </c>
      <c r="B50" s="31"/>
      <c r="C50" s="35" t="s">
        <v>169</v>
      </c>
      <c r="D50" s="36" t="s">
        <v>173</v>
      </c>
    </row>
    <row r="51" customFormat="false" ht="18" hidden="false" customHeight="true" outlineLevel="0" collapsed="false">
      <c r="A51" s="37" t="s">
        <v>174</v>
      </c>
      <c r="B51" s="31"/>
      <c r="C51" s="35" t="s">
        <v>169</v>
      </c>
      <c r="D51" s="36"/>
    </row>
    <row r="52" customFormat="false" ht="18" hidden="false" customHeight="true" outlineLevel="0" collapsed="false">
      <c r="A52" s="33" t="s">
        <v>176</v>
      </c>
      <c r="B52" s="31"/>
      <c r="C52" s="35" t="s">
        <v>169</v>
      </c>
      <c r="D52" s="36"/>
    </row>
    <row r="53" customFormat="false" ht="4.5" hidden="false" customHeight="true" outlineLevel="0" collapsed="false"/>
    <row r="54" customFormat="false" ht="19.5" hidden="false" customHeight="true" outlineLevel="0" collapsed="false">
      <c r="A54" s="32" t="s">
        <v>177</v>
      </c>
      <c r="B54" s="32"/>
      <c r="C54" s="32"/>
      <c r="D54" s="32"/>
    </row>
    <row r="55" customFormat="false" ht="18" hidden="false" customHeight="true" outlineLevel="0" collapsed="false">
      <c r="A55" s="33" t="s">
        <v>178</v>
      </c>
      <c r="B55" s="42"/>
      <c r="C55" s="35" t="s">
        <v>106</v>
      </c>
      <c r="D55" s="36" t="s">
        <v>179</v>
      </c>
    </row>
    <row r="56" customFormat="false" ht="18" hidden="false" customHeight="true" outlineLevel="0" collapsed="false">
      <c r="A56" s="37" t="s">
        <v>180</v>
      </c>
      <c r="B56" s="42"/>
      <c r="C56" s="35" t="s">
        <v>106</v>
      </c>
      <c r="D56" s="36" t="s">
        <v>181</v>
      </c>
    </row>
    <row r="57" customFormat="false" ht="18" hidden="false" customHeight="true" outlineLevel="0" collapsed="false">
      <c r="A57" s="33" t="s">
        <v>182</v>
      </c>
      <c r="B57" s="42"/>
      <c r="C57" s="35" t="s">
        <v>106</v>
      </c>
      <c r="D57" s="36" t="s">
        <v>183</v>
      </c>
    </row>
    <row r="58" customFormat="false" ht="18" hidden="false" customHeight="true" outlineLevel="0" collapsed="false">
      <c r="A58" s="37" t="s">
        <v>184</v>
      </c>
      <c r="B58" s="42"/>
      <c r="C58" s="35" t="s">
        <v>106</v>
      </c>
      <c r="D58" s="36" t="s">
        <v>185</v>
      </c>
    </row>
    <row r="59" customFormat="false" ht="18" hidden="false" customHeight="true" outlineLevel="0" collapsed="false">
      <c r="A59" s="33" t="s">
        <v>186</v>
      </c>
      <c r="B59" s="41" t="str">
        <f aca="false">IFERROR(B56/B55,"")</f>
        <v/>
      </c>
      <c r="C59" s="35" t="s">
        <v>103</v>
      </c>
      <c r="D59" s="36" t="s">
        <v>104</v>
      </c>
    </row>
    <row r="60" customFormat="false" ht="18" hidden="false" customHeight="true" outlineLevel="0" collapsed="false">
      <c r="A60" s="37" t="s">
        <v>187</v>
      </c>
      <c r="B60" s="41" t="str">
        <f aca="false">IFERROR(B57/B55,"")</f>
        <v/>
      </c>
      <c r="C60" s="35" t="s">
        <v>103</v>
      </c>
      <c r="D60" s="36" t="s">
        <v>104</v>
      </c>
    </row>
    <row r="61" customFormat="false" ht="18" hidden="false" customHeight="true" outlineLevel="0" collapsed="false">
      <c r="A61" s="33" t="s">
        <v>188</v>
      </c>
      <c r="B61" s="41" t="str">
        <f aca="false">IFERROR(B58/B55,"")</f>
        <v/>
      </c>
      <c r="C61" s="35" t="s">
        <v>103</v>
      </c>
      <c r="D61" s="36" t="s">
        <v>104</v>
      </c>
    </row>
    <row r="62" customFormat="false" ht="18" hidden="false" customHeight="true" outlineLevel="0" collapsed="false">
      <c r="A62" s="37" t="s">
        <v>189</v>
      </c>
      <c r="B62" s="31"/>
      <c r="C62" s="35"/>
      <c r="D62" s="36" t="s">
        <v>191</v>
      </c>
    </row>
    <row r="63" customFormat="false" ht="18" hidden="false" customHeight="true" outlineLevel="0" collapsed="false">
      <c r="A63" s="33" t="s">
        <v>192</v>
      </c>
      <c r="B63" s="31"/>
      <c r="C63" s="35"/>
      <c r="D63" s="36"/>
    </row>
    <row r="64" customFormat="false" ht="18" hidden="false" customHeight="true" outlineLevel="0" collapsed="false">
      <c r="A64" s="37" t="s">
        <v>194</v>
      </c>
      <c r="B64" s="31"/>
      <c r="C64" s="35"/>
      <c r="D64" s="36"/>
    </row>
    <row r="65" customFormat="false" ht="18" hidden="false" customHeight="true" outlineLevel="0" collapsed="false">
      <c r="A65" s="33" t="s">
        <v>196</v>
      </c>
      <c r="B65" s="31"/>
      <c r="C65" s="35"/>
      <c r="D65" s="36"/>
    </row>
    <row r="66" customFormat="false" ht="18" hidden="false" customHeight="true" outlineLevel="0" collapsed="false">
      <c r="A66" s="37" t="s">
        <v>198</v>
      </c>
      <c r="B66" s="31"/>
      <c r="C66" s="35"/>
      <c r="D66" s="36"/>
    </row>
    <row r="67" customFormat="false" ht="4.5" hidden="false" customHeight="true" outlineLevel="0" collapsed="false"/>
    <row r="68" customFormat="false" ht="19.5" hidden="false" customHeight="true" outlineLevel="0" collapsed="false">
      <c r="A68" s="32" t="s">
        <v>199</v>
      </c>
      <c r="B68" s="32"/>
      <c r="C68" s="32"/>
      <c r="D68" s="32"/>
    </row>
    <row r="69" customFormat="false" ht="18" hidden="false" customHeight="true" outlineLevel="0" collapsed="false">
      <c r="A69" s="33" t="s">
        <v>200</v>
      </c>
      <c r="B69" s="43"/>
      <c r="C69" s="35" t="s">
        <v>103</v>
      </c>
      <c r="D69" s="36" t="s">
        <v>201</v>
      </c>
    </row>
    <row r="70" customFormat="false" ht="18" hidden="false" customHeight="true" outlineLevel="0" collapsed="false">
      <c r="A70" s="37" t="s">
        <v>202</v>
      </c>
      <c r="B70" s="31"/>
      <c r="C70" s="35"/>
      <c r="D70" s="36" t="s">
        <v>204</v>
      </c>
    </row>
    <row r="71" customFormat="false" ht="18" hidden="false" customHeight="true" outlineLevel="0" collapsed="false">
      <c r="A71" s="33" t="s">
        <v>205</v>
      </c>
      <c r="B71" s="31"/>
      <c r="C71" s="35"/>
      <c r="D71" s="36" t="s">
        <v>206</v>
      </c>
    </row>
    <row r="72" customFormat="false" ht="18" hidden="false" customHeight="true" outlineLevel="0" collapsed="false">
      <c r="A72" s="37" t="s">
        <v>207</v>
      </c>
      <c r="B72" s="31"/>
      <c r="C72" s="35"/>
      <c r="D72" s="36" t="s">
        <v>208</v>
      </c>
    </row>
    <row r="73" customFormat="false" ht="4.5" hidden="false" customHeight="true" outlineLevel="0" collapsed="false"/>
    <row r="74" customFormat="false" ht="19.5" hidden="false" customHeight="true" outlineLevel="0" collapsed="false">
      <c r="A74" s="44" t="s">
        <v>209</v>
      </c>
      <c r="B74" s="44"/>
      <c r="C74" s="44"/>
      <c r="D74" s="44"/>
    </row>
    <row r="75" customFormat="false" ht="18" hidden="false" customHeight="true" outlineLevel="0" collapsed="false">
      <c r="A75" s="45" t="s">
        <v>210</v>
      </c>
      <c r="B75" s="45" t="s">
        <v>211</v>
      </c>
      <c r="C75" s="45" t="s">
        <v>212</v>
      </c>
      <c r="D75" s="45" t="s">
        <v>213</v>
      </c>
    </row>
    <row r="76" customFormat="false" ht="30" hidden="false" customHeight="true" outlineLevel="0" collapsed="false">
      <c r="A76" s="46" t="n">
        <v>1</v>
      </c>
      <c r="B76" s="47"/>
      <c r="C76" s="48"/>
      <c r="D76" s="48"/>
    </row>
    <row r="77" customFormat="false" ht="30" hidden="false" customHeight="true" outlineLevel="0" collapsed="false">
      <c r="A77" s="49" t="n">
        <v>2</v>
      </c>
      <c r="B77" s="47"/>
      <c r="C77" s="48"/>
      <c r="D77" s="48"/>
    </row>
    <row r="78" customFormat="false" ht="30" hidden="false" customHeight="true" outlineLevel="0" collapsed="false">
      <c r="A78" s="46" t="n">
        <v>3</v>
      </c>
      <c r="B78" s="47"/>
      <c r="C78" s="48"/>
      <c r="D78" s="48"/>
    </row>
    <row r="79" customFormat="false" ht="30" hidden="false" customHeight="true" outlineLevel="0" collapsed="false">
      <c r="A79" s="49" t="n">
        <v>4</v>
      </c>
      <c r="B79" s="47"/>
      <c r="C79" s="48"/>
      <c r="D79" s="48"/>
    </row>
    <row r="80" customFormat="false" ht="30" hidden="false" customHeight="true" outlineLevel="0" collapsed="false">
      <c r="A80" s="46" t="n">
        <v>5</v>
      </c>
      <c r="B80" s="47"/>
      <c r="C80" s="48"/>
      <c r="D80" s="48"/>
    </row>
    <row r="81" customFormat="false" ht="30" hidden="false" customHeight="true" outlineLevel="0" collapsed="false">
      <c r="A81" s="49" t="n">
        <v>6</v>
      </c>
      <c r="B81" s="47"/>
      <c r="C81" s="48"/>
      <c r="D81" s="48"/>
    </row>
    <row r="82" customFormat="false" ht="30" hidden="false" customHeight="true" outlineLevel="0" collapsed="false">
      <c r="A82" s="46" t="n">
        <v>7</v>
      </c>
      <c r="B82" s="47"/>
      <c r="C82" s="48"/>
      <c r="D82" s="48"/>
    </row>
    <row r="83" customFormat="false" ht="30" hidden="false" customHeight="true" outlineLevel="0" collapsed="false">
      <c r="A83" s="49" t="n">
        <v>8</v>
      </c>
      <c r="B83" s="47"/>
      <c r="C83" s="48"/>
      <c r="D83" s="48"/>
    </row>
    <row r="84" customFormat="false" ht="4.5" hidden="false" customHeight="true" outlineLevel="0" collapsed="false"/>
    <row r="85" customFormat="false" ht="13.5" hidden="false" customHeight="true" outlineLevel="0" collapsed="false">
      <c r="A85" s="26" t="s">
        <v>219</v>
      </c>
      <c r="B85" s="26"/>
      <c r="C85" s="26"/>
      <c r="D85" s="26"/>
    </row>
    <row r="86" customFormat="false" ht="13.5" hidden="false" customHeight="true" outlineLevel="0" collapsed="false">
      <c r="A86" s="50" t="s">
        <v>220</v>
      </c>
      <c r="B86" s="50"/>
      <c r="C86" s="50"/>
      <c r="D86" s="50"/>
    </row>
    <row r="87" customFormat="false" ht="7.5" hidden="false" customHeight="true" outlineLevel="0" collapsed="false"/>
    <row r="88" customFormat="false" ht="7.5" hidden="false" customHeight="true" outlineLevel="0" collapsed="false"/>
    <row r="89" customFormat="false" ht="19.5" hidden="false" customHeight="true" outlineLevel="0" collapsed="false">
      <c r="A89" s="32" t="s">
        <v>221</v>
      </c>
      <c r="B89" s="32"/>
      <c r="C89" s="32"/>
      <c r="D89" s="32"/>
      <c r="E89" s="32"/>
      <c r="F89" s="32"/>
      <c r="G89" s="32"/>
      <c r="H89" s="32"/>
      <c r="I89" s="32"/>
    </row>
    <row r="90" customFormat="false" ht="30" hidden="false" customHeight="true" outlineLevel="0" collapsed="false">
      <c r="A90" s="51" t="s">
        <v>106</v>
      </c>
      <c r="B90" s="51" t="s">
        <v>222</v>
      </c>
      <c r="C90" s="51" t="s">
        <v>223</v>
      </c>
      <c r="D90" s="51" t="s">
        <v>224</v>
      </c>
      <c r="E90" s="51" t="s">
        <v>225</v>
      </c>
      <c r="F90" s="51" t="s">
        <v>226</v>
      </c>
      <c r="G90" s="51" t="s">
        <v>227</v>
      </c>
      <c r="H90" s="51" t="s">
        <v>228</v>
      </c>
      <c r="I90" s="51" t="s">
        <v>229</v>
      </c>
    </row>
    <row r="91" customFormat="false" ht="16.5" hidden="false" customHeight="true" outlineLevel="0" collapsed="false">
      <c r="A91" s="52" t="n">
        <v>1</v>
      </c>
      <c r="B91" s="53"/>
      <c r="C91" s="53"/>
      <c r="D91" s="53"/>
      <c r="E91" s="53"/>
      <c r="F91" s="54"/>
      <c r="G91" s="55"/>
      <c r="H91" s="53"/>
      <c r="I91" s="53"/>
    </row>
    <row r="92" customFormat="false" ht="16.5" hidden="false" customHeight="true" outlineLevel="0" collapsed="false">
      <c r="A92" s="52" t="n">
        <v>2</v>
      </c>
      <c r="B92" s="53"/>
      <c r="C92" s="53"/>
      <c r="D92" s="53"/>
      <c r="E92" s="53"/>
      <c r="F92" s="54"/>
      <c r="G92" s="55"/>
      <c r="H92" s="53"/>
      <c r="I92" s="53"/>
    </row>
    <row r="93" customFormat="false" ht="16.5" hidden="false" customHeight="true" outlineLevel="0" collapsed="false">
      <c r="A93" s="52" t="n">
        <v>3</v>
      </c>
      <c r="B93" s="53"/>
      <c r="C93" s="53"/>
      <c r="D93" s="53"/>
      <c r="E93" s="53"/>
      <c r="F93" s="54"/>
      <c r="G93" s="55"/>
      <c r="H93" s="53"/>
      <c r="I93" s="53"/>
    </row>
    <row r="94" customFormat="false" ht="16.5" hidden="false" customHeight="true" outlineLevel="0" collapsed="false">
      <c r="A94" s="52" t="n">
        <v>4</v>
      </c>
      <c r="B94" s="53"/>
      <c r="C94" s="53"/>
      <c r="D94" s="53"/>
      <c r="E94" s="53"/>
      <c r="F94" s="54"/>
      <c r="G94" s="55"/>
      <c r="H94" s="53"/>
      <c r="I94" s="53"/>
    </row>
    <row r="95" customFormat="false" ht="16.5" hidden="false" customHeight="true" outlineLevel="0" collapsed="false">
      <c r="A95" s="52" t="n">
        <v>5</v>
      </c>
      <c r="B95" s="53"/>
      <c r="C95" s="53"/>
      <c r="D95" s="53"/>
      <c r="E95" s="53"/>
      <c r="F95" s="54"/>
      <c r="G95" s="55"/>
      <c r="H95" s="53"/>
      <c r="I95" s="53"/>
    </row>
    <row r="96" customFormat="false" ht="16.5" hidden="false" customHeight="true" outlineLevel="0" collapsed="false">
      <c r="A96" s="52" t="n">
        <v>6</v>
      </c>
      <c r="B96" s="53"/>
      <c r="C96" s="53"/>
      <c r="D96" s="53"/>
      <c r="E96" s="53"/>
      <c r="F96" s="54"/>
      <c r="G96" s="55"/>
      <c r="H96" s="53"/>
      <c r="I96" s="53"/>
    </row>
    <row r="97" customFormat="false" ht="16.5" hidden="false" customHeight="true" outlineLevel="0" collapsed="false">
      <c r="A97" s="52" t="n">
        <v>7</v>
      </c>
      <c r="B97" s="53"/>
      <c r="C97" s="53"/>
      <c r="D97" s="53"/>
      <c r="E97" s="53"/>
      <c r="F97" s="54"/>
      <c r="G97" s="55"/>
      <c r="H97" s="53"/>
      <c r="I97" s="53"/>
    </row>
    <row r="98" customFormat="false" ht="16.5" hidden="false" customHeight="true" outlineLevel="0" collapsed="false">
      <c r="A98" s="52" t="n">
        <v>8</v>
      </c>
      <c r="B98" s="53"/>
      <c r="C98" s="53"/>
      <c r="D98" s="53"/>
      <c r="E98" s="53"/>
      <c r="F98" s="54"/>
      <c r="G98" s="55"/>
      <c r="H98" s="53"/>
      <c r="I98" s="53"/>
    </row>
    <row r="99" customFormat="false" ht="16.5" hidden="false" customHeight="true" outlineLevel="0" collapsed="false">
      <c r="A99" s="52" t="n">
        <v>9</v>
      </c>
      <c r="B99" s="53"/>
      <c r="C99" s="53"/>
      <c r="D99" s="53"/>
      <c r="E99" s="53"/>
      <c r="F99" s="54"/>
      <c r="G99" s="55"/>
      <c r="H99" s="53"/>
      <c r="I99" s="53"/>
    </row>
    <row r="100" customFormat="false" ht="16.5" hidden="false" customHeight="true" outlineLevel="0" collapsed="false">
      <c r="A100" s="52" t="n">
        <v>10</v>
      </c>
      <c r="B100" s="53"/>
      <c r="C100" s="53"/>
      <c r="D100" s="53"/>
      <c r="E100" s="53"/>
      <c r="F100" s="54"/>
      <c r="G100" s="55"/>
      <c r="H100" s="53"/>
      <c r="I100" s="53"/>
    </row>
    <row r="101" customFormat="false" ht="16.5" hidden="false" customHeight="true" outlineLevel="0" collapsed="false">
      <c r="A101" s="52" t="n">
        <v>11</v>
      </c>
      <c r="B101" s="53"/>
      <c r="C101" s="53"/>
      <c r="D101" s="53"/>
      <c r="E101" s="53"/>
      <c r="F101" s="54"/>
      <c r="G101" s="55"/>
      <c r="H101" s="53"/>
      <c r="I101" s="53"/>
    </row>
    <row r="102" customFormat="false" ht="16.5" hidden="false" customHeight="true" outlineLevel="0" collapsed="false">
      <c r="A102" s="52" t="n">
        <v>12</v>
      </c>
      <c r="B102" s="53"/>
      <c r="C102" s="53"/>
      <c r="D102" s="53"/>
      <c r="E102" s="53"/>
      <c r="F102" s="54"/>
      <c r="G102" s="55"/>
      <c r="H102" s="53"/>
      <c r="I102" s="53"/>
    </row>
    <row r="103" customFormat="false" ht="16.5" hidden="false" customHeight="true" outlineLevel="0" collapsed="false">
      <c r="A103" s="52" t="n">
        <v>13</v>
      </c>
      <c r="B103" s="53"/>
      <c r="C103" s="53"/>
      <c r="D103" s="53"/>
      <c r="E103" s="53"/>
      <c r="F103" s="54"/>
      <c r="G103" s="55"/>
      <c r="H103" s="53"/>
      <c r="I103" s="53"/>
    </row>
    <row r="104" customFormat="false" ht="16.5" hidden="false" customHeight="true" outlineLevel="0" collapsed="false">
      <c r="A104" s="52" t="n">
        <v>14</v>
      </c>
      <c r="B104" s="53"/>
      <c r="C104" s="53"/>
      <c r="D104" s="53"/>
      <c r="E104" s="53"/>
      <c r="F104" s="54"/>
      <c r="G104" s="55"/>
      <c r="H104" s="53"/>
      <c r="I104" s="53"/>
    </row>
    <row r="105" customFormat="false" ht="16.5" hidden="false" customHeight="true" outlineLevel="0" collapsed="false">
      <c r="A105" s="52" t="n">
        <v>15</v>
      </c>
      <c r="B105" s="53"/>
      <c r="C105" s="53"/>
      <c r="D105" s="53"/>
      <c r="E105" s="53"/>
      <c r="F105" s="54"/>
      <c r="G105" s="55"/>
      <c r="H105" s="53"/>
      <c r="I105" s="53"/>
    </row>
    <row r="106" customFormat="false" ht="16.5" hidden="false" customHeight="true" outlineLevel="0" collapsed="false">
      <c r="A106" s="52" t="n">
        <v>16</v>
      </c>
      <c r="B106" s="53"/>
      <c r="C106" s="53"/>
      <c r="D106" s="53"/>
      <c r="E106" s="53"/>
      <c r="F106" s="54"/>
      <c r="G106" s="55"/>
      <c r="H106" s="53"/>
      <c r="I106" s="53"/>
    </row>
    <row r="107" customFormat="false" ht="16.5" hidden="false" customHeight="true" outlineLevel="0" collapsed="false">
      <c r="A107" s="52" t="n">
        <v>17</v>
      </c>
      <c r="B107" s="53"/>
      <c r="C107" s="53"/>
      <c r="D107" s="53"/>
      <c r="E107" s="53"/>
      <c r="F107" s="54"/>
      <c r="G107" s="55"/>
      <c r="H107" s="53"/>
      <c r="I107" s="53"/>
    </row>
    <row r="108" customFormat="false" ht="16.5" hidden="false" customHeight="true" outlineLevel="0" collapsed="false">
      <c r="A108" s="52" t="n">
        <v>18</v>
      </c>
      <c r="B108" s="53"/>
      <c r="C108" s="53"/>
      <c r="D108" s="53"/>
      <c r="E108" s="53"/>
      <c r="F108" s="54"/>
      <c r="G108" s="55"/>
      <c r="H108" s="53"/>
      <c r="I108" s="53"/>
    </row>
    <row r="109" customFormat="false" ht="16.5" hidden="false" customHeight="true" outlineLevel="0" collapsed="false">
      <c r="A109" s="52" t="n">
        <v>19</v>
      </c>
      <c r="B109" s="53"/>
      <c r="C109" s="53"/>
      <c r="D109" s="53"/>
      <c r="E109" s="53"/>
      <c r="F109" s="54"/>
      <c r="G109" s="55"/>
      <c r="H109" s="53"/>
      <c r="I109" s="53"/>
    </row>
    <row r="110" customFormat="false" ht="16.5" hidden="false" customHeight="true" outlineLevel="0" collapsed="false">
      <c r="A110" s="52" t="n">
        <v>20</v>
      </c>
      <c r="B110" s="53"/>
      <c r="C110" s="53"/>
      <c r="D110" s="53"/>
      <c r="E110" s="53"/>
      <c r="F110" s="54"/>
      <c r="G110" s="55"/>
      <c r="H110" s="53"/>
      <c r="I110" s="53"/>
    </row>
    <row r="111" customFormat="false" ht="16.5" hidden="false" customHeight="true" outlineLevel="0" collapsed="false">
      <c r="A111" s="52" t="n">
        <v>21</v>
      </c>
      <c r="B111" s="53"/>
      <c r="C111" s="53"/>
      <c r="D111" s="53"/>
      <c r="E111" s="53"/>
      <c r="F111" s="54"/>
      <c r="G111" s="55"/>
      <c r="H111" s="53"/>
      <c r="I111" s="53"/>
    </row>
    <row r="112" customFormat="false" ht="16.5" hidden="false" customHeight="true" outlineLevel="0" collapsed="false">
      <c r="A112" s="52" t="n">
        <v>22</v>
      </c>
      <c r="B112" s="53"/>
      <c r="C112" s="53"/>
      <c r="D112" s="53"/>
      <c r="E112" s="53"/>
      <c r="F112" s="54"/>
      <c r="G112" s="55"/>
      <c r="H112" s="53"/>
      <c r="I112" s="53"/>
    </row>
    <row r="113" customFormat="false" ht="16.5" hidden="false" customHeight="true" outlineLevel="0" collapsed="false">
      <c r="A113" s="52" t="n">
        <v>23</v>
      </c>
      <c r="B113" s="53"/>
      <c r="C113" s="53"/>
      <c r="D113" s="53"/>
      <c r="E113" s="53"/>
      <c r="F113" s="54"/>
      <c r="G113" s="55"/>
      <c r="H113" s="53"/>
      <c r="I113" s="53"/>
    </row>
    <row r="114" customFormat="false" ht="16.5" hidden="false" customHeight="true" outlineLevel="0" collapsed="false">
      <c r="A114" s="52" t="n">
        <v>24</v>
      </c>
      <c r="B114" s="53"/>
      <c r="C114" s="53"/>
      <c r="D114" s="53"/>
      <c r="E114" s="53"/>
      <c r="F114" s="54"/>
      <c r="G114" s="55"/>
      <c r="H114" s="53"/>
      <c r="I114" s="53"/>
    </row>
    <row r="115" customFormat="false" ht="16.5" hidden="false" customHeight="true" outlineLevel="0" collapsed="false">
      <c r="A115" s="52" t="n">
        <v>25</v>
      </c>
      <c r="B115" s="53"/>
      <c r="C115" s="53"/>
      <c r="D115" s="53"/>
      <c r="E115" s="53"/>
      <c r="F115" s="54"/>
      <c r="G115" s="55"/>
      <c r="H115" s="53"/>
      <c r="I115" s="53"/>
    </row>
    <row r="116" customFormat="false" ht="16.5" hidden="false" customHeight="true" outlineLevel="0" collapsed="false">
      <c r="A116" s="52" t="n">
        <v>26</v>
      </c>
      <c r="B116" s="53"/>
      <c r="C116" s="53"/>
      <c r="D116" s="53"/>
      <c r="E116" s="53"/>
      <c r="F116" s="54"/>
      <c r="G116" s="55"/>
      <c r="H116" s="53"/>
      <c r="I116" s="53"/>
    </row>
    <row r="117" customFormat="false" ht="16.5" hidden="false" customHeight="true" outlineLevel="0" collapsed="false">
      <c r="A117" s="52" t="n">
        <v>27</v>
      </c>
      <c r="B117" s="53"/>
      <c r="C117" s="53"/>
      <c r="D117" s="53"/>
      <c r="E117" s="53"/>
      <c r="F117" s="54"/>
      <c r="G117" s="55"/>
      <c r="H117" s="53"/>
      <c r="I117" s="53"/>
    </row>
    <row r="118" customFormat="false" ht="16.5" hidden="false" customHeight="true" outlineLevel="0" collapsed="false">
      <c r="A118" s="52" t="n">
        <v>28</v>
      </c>
      <c r="B118" s="53"/>
      <c r="C118" s="53"/>
      <c r="D118" s="53"/>
      <c r="E118" s="53"/>
      <c r="F118" s="54"/>
      <c r="G118" s="55"/>
      <c r="H118" s="53"/>
      <c r="I118" s="53"/>
    </row>
    <row r="119" customFormat="false" ht="16.5" hidden="false" customHeight="true" outlineLevel="0" collapsed="false">
      <c r="A119" s="52" t="n">
        <v>29</v>
      </c>
      <c r="B119" s="53"/>
      <c r="C119" s="53"/>
      <c r="D119" s="53"/>
      <c r="E119" s="53"/>
      <c r="F119" s="54"/>
      <c r="G119" s="55"/>
      <c r="H119" s="53"/>
      <c r="I119" s="53"/>
    </row>
    <row r="120" customFormat="false" ht="16.5" hidden="false" customHeight="true" outlineLevel="0" collapsed="false">
      <c r="A120" s="52" t="n">
        <v>30</v>
      </c>
      <c r="B120" s="53"/>
      <c r="C120" s="53"/>
      <c r="D120" s="53"/>
      <c r="E120" s="53"/>
      <c r="F120" s="54"/>
      <c r="G120" s="55"/>
      <c r="H120" s="53"/>
      <c r="I120" s="53"/>
    </row>
    <row r="121" customFormat="false" ht="16.5" hidden="false" customHeight="true" outlineLevel="0" collapsed="false">
      <c r="A121" s="52" t="n">
        <v>31</v>
      </c>
      <c r="B121" s="53"/>
      <c r="C121" s="53"/>
      <c r="D121" s="53"/>
      <c r="E121" s="53"/>
      <c r="F121" s="54"/>
      <c r="G121" s="55"/>
      <c r="H121" s="53"/>
      <c r="I121" s="53"/>
    </row>
    <row r="122" customFormat="false" ht="16.5" hidden="false" customHeight="true" outlineLevel="0" collapsed="false">
      <c r="A122" s="52" t="n">
        <v>32</v>
      </c>
      <c r="B122" s="53"/>
      <c r="C122" s="53"/>
      <c r="D122" s="53"/>
      <c r="E122" s="53"/>
      <c r="F122" s="54"/>
      <c r="G122" s="55"/>
      <c r="H122" s="53"/>
      <c r="I122" s="53"/>
    </row>
    <row r="123" customFormat="false" ht="16.5" hidden="false" customHeight="true" outlineLevel="0" collapsed="false">
      <c r="A123" s="52" t="n">
        <v>33</v>
      </c>
      <c r="B123" s="53"/>
      <c r="C123" s="53"/>
      <c r="D123" s="53"/>
      <c r="E123" s="53"/>
      <c r="F123" s="54"/>
      <c r="G123" s="55"/>
      <c r="H123" s="53"/>
      <c r="I123" s="53"/>
    </row>
    <row r="124" customFormat="false" ht="16.5" hidden="false" customHeight="true" outlineLevel="0" collapsed="false">
      <c r="A124" s="52" t="n">
        <v>34</v>
      </c>
      <c r="B124" s="53"/>
      <c r="C124" s="53"/>
      <c r="D124" s="53"/>
      <c r="E124" s="53"/>
      <c r="F124" s="54"/>
      <c r="G124" s="55"/>
      <c r="H124" s="53"/>
      <c r="I124" s="53"/>
    </row>
    <row r="125" customFormat="false" ht="16.5" hidden="false" customHeight="true" outlineLevel="0" collapsed="false">
      <c r="A125" s="52" t="n">
        <v>35</v>
      </c>
      <c r="B125" s="53"/>
      <c r="C125" s="53"/>
      <c r="D125" s="53"/>
      <c r="E125" s="53"/>
      <c r="F125" s="54"/>
      <c r="G125" s="55"/>
      <c r="H125" s="53"/>
      <c r="I125" s="53"/>
    </row>
    <row r="126" customFormat="false" ht="15" hidden="false" customHeight="true" outlineLevel="0" collapsed="false">
      <c r="A126" s="56" t="s">
        <v>260</v>
      </c>
      <c r="B126" s="56"/>
      <c r="C126" s="56"/>
      <c r="D126" s="56"/>
      <c r="E126" s="56"/>
      <c r="F126" s="57" t="n">
        <f aca="false">IFERROR(SUM(F91:F125),0)</f>
        <v>0</v>
      </c>
    </row>
    <row r="127" customFormat="false" ht="19.5" hidden="false" customHeight="true" outlineLevel="0" collapsed="false">
      <c r="A127" s="32" t="s">
        <v>261</v>
      </c>
      <c r="B127" s="32"/>
      <c r="C127" s="32"/>
      <c r="D127" s="32"/>
      <c r="E127" s="32"/>
      <c r="F127" s="58"/>
      <c r="G127" s="58"/>
      <c r="H127" s="58"/>
      <c r="I127" s="58"/>
      <c r="J127" s="58"/>
      <c r="K127" s="58"/>
      <c r="L127" s="58"/>
      <c r="M127" s="58"/>
      <c r="N127" s="58"/>
    </row>
    <row r="128" customFormat="false" ht="31.5" hidden="false" customHeight="true" outlineLevel="0" collapsed="false">
      <c r="A128" s="51" t="s">
        <v>106</v>
      </c>
      <c r="B128" s="51" t="s">
        <v>262</v>
      </c>
      <c r="C128" s="51" t="s">
        <v>263</v>
      </c>
      <c r="D128" s="51" t="s">
        <v>264</v>
      </c>
      <c r="E128" s="51" t="s">
        <v>265</v>
      </c>
      <c r="F128" s="51" t="s">
        <v>266</v>
      </c>
      <c r="G128" s="51" t="s">
        <v>267</v>
      </c>
      <c r="H128" s="51" t="s">
        <v>268</v>
      </c>
      <c r="I128" s="51" t="s">
        <v>269</v>
      </c>
      <c r="J128" s="51" t="s">
        <v>270</v>
      </c>
      <c r="K128" s="51" t="s">
        <v>271</v>
      </c>
      <c r="L128" s="51" t="s">
        <v>272</v>
      </c>
      <c r="M128" s="51" t="s">
        <v>61</v>
      </c>
      <c r="N128" s="51" t="s">
        <v>273</v>
      </c>
    </row>
    <row r="129" customFormat="false" ht="16.5" hidden="false" customHeight="true" outlineLevel="0" collapsed="false">
      <c r="A129" s="52" t="n">
        <v>1</v>
      </c>
      <c r="B129" s="53"/>
      <c r="C129" s="53"/>
      <c r="D129" s="53"/>
      <c r="E129" s="59"/>
      <c r="F129" s="59"/>
      <c r="G129" s="60"/>
      <c r="H129" s="57" t="n">
        <f aca="false">IFERROR(E129*G129,"")</f>
        <v>0</v>
      </c>
      <c r="I129" s="53"/>
      <c r="J129" s="55"/>
      <c r="K129" s="55"/>
      <c r="L129" s="55"/>
      <c r="M129" s="53"/>
      <c r="N129" s="53"/>
    </row>
    <row r="130" customFormat="false" ht="16.5" hidden="false" customHeight="true" outlineLevel="0" collapsed="false">
      <c r="A130" s="52" t="n">
        <v>2</v>
      </c>
      <c r="B130" s="53"/>
      <c r="C130" s="53"/>
      <c r="D130" s="53"/>
      <c r="E130" s="59"/>
      <c r="F130" s="59"/>
      <c r="G130" s="60"/>
      <c r="H130" s="57" t="n">
        <f aca="false">IFERROR(E130*G130,"")</f>
        <v>0</v>
      </c>
      <c r="I130" s="53"/>
      <c r="J130" s="55"/>
      <c r="K130" s="55"/>
      <c r="L130" s="55"/>
      <c r="M130" s="53"/>
      <c r="N130" s="53"/>
    </row>
    <row r="131" customFormat="false" ht="16.5" hidden="false" customHeight="true" outlineLevel="0" collapsed="false">
      <c r="A131" s="52" t="n">
        <v>3</v>
      </c>
      <c r="B131" s="53"/>
      <c r="C131" s="53"/>
      <c r="D131" s="53"/>
      <c r="E131" s="59"/>
      <c r="F131" s="59"/>
      <c r="G131" s="60"/>
      <c r="H131" s="57" t="n">
        <f aca="false">IFERROR(E131*G131,"")</f>
        <v>0</v>
      </c>
      <c r="I131" s="53"/>
      <c r="J131" s="55"/>
      <c r="K131" s="55"/>
      <c r="L131" s="55"/>
      <c r="M131" s="53"/>
      <c r="N131" s="53"/>
    </row>
    <row r="132" customFormat="false" ht="16.5" hidden="false" customHeight="true" outlineLevel="0" collapsed="false">
      <c r="A132" s="52" t="n">
        <v>4</v>
      </c>
      <c r="B132" s="53"/>
      <c r="C132" s="53"/>
      <c r="D132" s="53"/>
      <c r="E132" s="59"/>
      <c r="F132" s="59"/>
      <c r="G132" s="60"/>
      <c r="H132" s="57" t="n">
        <f aca="false">IFERROR(E132*G132,"")</f>
        <v>0</v>
      </c>
      <c r="I132" s="53"/>
      <c r="J132" s="55"/>
      <c r="K132" s="55"/>
      <c r="L132" s="55"/>
      <c r="M132" s="53"/>
      <c r="N132" s="53"/>
    </row>
    <row r="133" customFormat="false" ht="16.5" hidden="false" customHeight="true" outlineLevel="0" collapsed="false">
      <c r="A133" s="52" t="n">
        <v>5</v>
      </c>
      <c r="B133" s="53"/>
      <c r="C133" s="53"/>
      <c r="D133" s="53"/>
      <c r="E133" s="59"/>
      <c r="F133" s="59"/>
      <c r="G133" s="60"/>
      <c r="H133" s="57" t="n">
        <f aca="false">IFERROR(E133*G133,"")</f>
        <v>0</v>
      </c>
      <c r="I133" s="53"/>
      <c r="J133" s="55"/>
      <c r="K133" s="55"/>
      <c r="L133" s="55"/>
      <c r="M133" s="53"/>
      <c r="N133" s="53"/>
    </row>
    <row r="134" customFormat="false" ht="16.5" hidden="false" customHeight="true" outlineLevel="0" collapsed="false">
      <c r="A134" s="52" t="n">
        <v>6</v>
      </c>
      <c r="B134" s="53"/>
      <c r="C134" s="53"/>
      <c r="D134" s="53"/>
      <c r="E134" s="59"/>
      <c r="F134" s="59"/>
      <c r="G134" s="60"/>
      <c r="H134" s="57" t="n">
        <f aca="false">IFERROR(E134*G134,"")</f>
        <v>0</v>
      </c>
      <c r="I134" s="53"/>
      <c r="J134" s="55"/>
      <c r="K134" s="55"/>
      <c r="L134" s="55"/>
      <c r="M134" s="53"/>
      <c r="N134" s="53"/>
    </row>
    <row r="135" customFormat="false" ht="16.5" hidden="false" customHeight="true" outlineLevel="0" collapsed="false">
      <c r="A135" s="52" t="n">
        <v>7</v>
      </c>
      <c r="B135" s="53"/>
      <c r="C135" s="53"/>
      <c r="D135" s="53"/>
      <c r="E135" s="59"/>
      <c r="F135" s="59"/>
      <c r="G135" s="60"/>
      <c r="H135" s="57" t="n">
        <f aca="false">IFERROR(E135*G135,"")</f>
        <v>0</v>
      </c>
      <c r="I135" s="53"/>
      <c r="J135" s="55"/>
      <c r="K135" s="55"/>
      <c r="L135" s="55"/>
      <c r="M135" s="53"/>
      <c r="N135" s="53"/>
    </row>
    <row r="136" customFormat="false" ht="16.5" hidden="false" customHeight="true" outlineLevel="0" collapsed="false">
      <c r="A136" s="52" t="n">
        <v>8</v>
      </c>
      <c r="B136" s="53"/>
      <c r="C136" s="53"/>
      <c r="D136" s="53"/>
      <c r="E136" s="59"/>
      <c r="F136" s="59"/>
      <c r="G136" s="60"/>
      <c r="H136" s="57" t="n">
        <f aca="false">IFERROR(E136*G136,"")</f>
        <v>0</v>
      </c>
      <c r="I136" s="53"/>
      <c r="J136" s="55"/>
      <c r="K136" s="55"/>
      <c r="L136" s="55"/>
      <c r="M136" s="53"/>
      <c r="N136" s="53"/>
    </row>
    <row r="137" customFormat="false" ht="16.5" hidden="false" customHeight="true" outlineLevel="0" collapsed="false">
      <c r="A137" s="52" t="n">
        <v>9</v>
      </c>
      <c r="B137" s="53"/>
      <c r="C137" s="53"/>
      <c r="D137" s="53"/>
      <c r="E137" s="59"/>
      <c r="F137" s="59"/>
      <c r="G137" s="60"/>
      <c r="H137" s="57" t="n">
        <f aca="false">IFERROR(E137*G137,"")</f>
        <v>0</v>
      </c>
      <c r="I137" s="53"/>
      <c r="J137" s="55"/>
      <c r="K137" s="55"/>
      <c r="L137" s="55"/>
      <c r="M137" s="53"/>
      <c r="N137" s="53"/>
    </row>
    <row r="138" customFormat="false" ht="16.5" hidden="false" customHeight="true" outlineLevel="0" collapsed="false">
      <c r="A138" s="52" t="n">
        <v>10</v>
      </c>
      <c r="B138" s="53"/>
      <c r="C138" s="53"/>
      <c r="D138" s="53"/>
      <c r="E138" s="59"/>
      <c r="F138" s="59"/>
      <c r="G138" s="60"/>
      <c r="H138" s="57" t="n">
        <f aca="false">IFERROR(E138*G138,"")</f>
        <v>0</v>
      </c>
      <c r="I138" s="53"/>
      <c r="J138" s="55"/>
      <c r="K138" s="55"/>
      <c r="L138" s="55"/>
      <c r="M138" s="53"/>
      <c r="N138" s="53"/>
    </row>
    <row r="139" customFormat="false" ht="16.5" hidden="false" customHeight="true" outlineLevel="0" collapsed="false">
      <c r="A139" s="52" t="n">
        <v>11</v>
      </c>
      <c r="B139" s="53"/>
      <c r="C139" s="53"/>
      <c r="D139" s="53"/>
      <c r="E139" s="59"/>
      <c r="F139" s="59"/>
      <c r="G139" s="60"/>
      <c r="H139" s="57" t="n">
        <f aca="false">IFERROR(E139*G139,"")</f>
        <v>0</v>
      </c>
      <c r="I139" s="53"/>
      <c r="J139" s="55"/>
      <c r="K139" s="55"/>
      <c r="L139" s="55"/>
      <c r="M139" s="53"/>
      <c r="N139" s="53"/>
    </row>
    <row r="140" customFormat="false" ht="16.5" hidden="false" customHeight="true" outlineLevel="0" collapsed="false">
      <c r="A140" s="52" t="n">
        <v>12</v>
      </c>
      <c r="B140" s="53"/>
      <c r="C140" s="53"/>
      <c r="D140" s="53"/>
      <c r="E140" s="59"/>
      <c r="F140" s="59"/>
      <c r="G140" s="60"/>
      <c r="H140" s="57" t="n">
        <f aca="false">IFERROR(E140*G140,"")</f>
        <v>0</v>
      </c>
      <c r="I140" s="53"/>
      <c r="J140" s="55"/>
      <c r="K140" s="55"/>
      <c r="L140" s="55"/>
      <c r="M140" s="53"/>
      <c r="N140" s="53"/>
    </row>
    <row r="141" customFormat="false" ht="16.5" hidden="false" customHeight="true" outlineLevel="0" collapsed="false">
      <c r="A141" s="52" t="n">
        <v>13</v>
      </c>
      <c r="B141" s="53"/>
      <c r="C141" s="53"/>
      <c r="D141" s="53"/>
      <c r="E141" s="59"/>
      <c r="F141" s="59"/>
      <c r="G141" s="60"/>
      <c r="H141" s="57" t="n">
        <f aca="false">IFERROR(E141*G141,"")</f>
        <v>0</v>
      </c>
      <c r="I141" s="53"/>
      <c r="J141" s="55"/>
      <c r="K141" s="55"/>
      <c r="L141" s="55"/>
      <c r="M141" s="53"/>
      <c r="N141" s="53"/>
    </row>
    <row r="142" customFormat="false" ht="16.5" hidden="false" customHeight="true" outlineLevel="0" collapsed="false">
      <c r="A142" s="52" t="n">
        <v>14</v>
      </c>
      <c r="B142" s="53"/>
      <c r="C142" s="53"/>
      <c r="D142" s="53"/>
      <c r="E142" s="59"/>
      <c r="F142" s="59"/>
      <c r="G142" s="60"/>
      <c r="H142" s="57" t="n">
        <f aca="false">IFERROR(E142*G142,"")</f>
        <v>0</v>
      </c>
      <c r="I142" s="53"/>
      <c r="J142" s="55"/>
      <c r="K142" s="55"/>
      <c r="L142" s="55"/>
      <c r="M142" s="53"/>
      <c r="N142" s="53"/>
    </row>
    <row r="143" customFormat="false" ht="16.5" hidden="false" customHeight="true" outlineLevel="0" collapsed="false">
      <c r="A143" s="52" t="n">
        <v>15</v>
      </c>
      <c r="B143" s="53"/>
      <c r="C143" s="53"/>
      <c r="D143" s="53"/>
      <c r="E143" s="59"/>
      <c r="F143" s="59"/>
      <c r="G143" s="60"/>
      <c r="H143" s="57" t="n">
        <f aca="false">IFERROR(E143*G143,"")</f>
        <v>0</v>
      </c>
      <c r="I143" s="53"/>
      <c r="J143" s="55"/>
      <c r="K143" s="55"/>
      <c r="L143" s="55"/>
      <c r="M143" s="53"/>
      <c r="N143" s="53"/>
    </row>
    <row r="144" customFormat="false" ht="16.5" hidden="false" customHeight="true" outlineLevel="0" collapsed="false">
      <c r="A144" s="52" t="n">
        <v>16</v>
      </c>
      <c r="B144" s="53"/>
      <c r="C144" s="53"/>
      <c r="D144" s="53"/>
      <c r="E144" s="59"/>
      <c r="F144" s="59"/>
      <c r="G144" s="60"/>
      <c r="H144" s="57" t="n">
        <f aca="false">IFERROR(E144*G144,"")</f>
        <v>0</v>
      </c>
      <c r="I144" s="53"/>
      <c r="J144" s="55"/>
      <c r="K144" s="55"/>
      <c r="L144" s="55"/>
      <c r="M144" s="53"/>
      <c r="N144" s="53"/>
    </row>
    <row r="145" customFormat="false" ht="16.5" hidden="false" customHeight="true" outlineLevel="0" collapsed="false">
      <c r="A145" s="52" t="n">
        <v>17</v>
      </c>
      <c r="B145" s="53"/>
      <c r="C145" s="53"/>
      <c r="D145" s="53"/>
      <c r="E145" s="59"/>
      <c r="F145" s="59"/>
      <c r="G145" s="60"/>
      <c r="H145" s="57" t="n">
        <f aca="false">IFERROR(E145*G145,"")</f>
        <v>0</v>
      </c>
      <c r="I145" s="53"/>
      <c r="J145" s="55"/>
      <c r="K145" s="55"/>
      <c r="L145" s="55"/>
      <c r="M145" s="53"/>
      <c r="N145" s="53"/>
    </row>
    <row r="146" customFormat="false" ht="16.5" hidden="false" customHeight="true" outlineLevel="0" collapsed="false">
      <c r="A146" s="52" t="n">
        <v>18</v>
      </c>
      <c r="B146" s="53"/>
      <c r="C146" s="53"/>
      <c r="D146" s="53"/>
      <c r="E146" s="59"/>
      <c r="F146" s="59"/>
      <c r="G146" s="60"/>
      <c r="H146" s="57" t="n">
        <f aca="false">IFERROR(E146*G146,"")</f>
        <v>0</v>
      </c>
      <c r="I146" s="53"/>
      <c r="J146" s="55"/>
      <c r="K146" s="55"/>
      <c r="L146" s="55"/>
      <c r="M146" s="53"/>
      <c r="N146" s="53"/>
    </row>
    <row r="147" customFormat="false" ht="16.5" hidden="false" customHeight="true" outlineLevel="0" collapsed="false">
      <c r="A147" s="52" t="n">
        <v>19</v>
      </c>
      <c r="B147" s="53"/>
      <c r="C147" s="53"/>
      <c r="D147" s="53"/>
      <c r="E147" s="59"/>
      <c r="F147" s="59"/>
      <c r="G147" s="60"/>
      <c r="H147" s="57" t="n">
        <f aca="false">IFERROR(E147*G147,"")</f>
        <v>0</v>
      </c>
      <c r="I147" s="53"/>
      <c r="J147" s="55"/>
      <c r="K147" s="55"/>
      <c r="L147" s="55"/>
      <c r="M147" s="53"/>
      <c r="N147" s="53"/>
    </row>
    <row r="148" customFormat="false" ht="16.5" hidden="false" customHeight="true" outlineLevel="0" collapsed="false">
      <c r="A148" s="52" t="n">
        <v>20</v>
      </c>
      <c r="B148" s="53"/>
      <c r="C148" s="53"/>
      <c r="D148" s="53"/>
      <c r="E148" s="59"/>
      <c r="F148" s="59"/>
      <c r="G148" s="60"/>
      <c r="H148" s="57" t="n">
        <f aca="false">IFERROR(E148*G148,"")</f>
        <v>0</v>
      </c>
      <c r="I148" s="53"/>
      <c r="J148" s="55"/>
      <c r="K148" s="55"/>
      <c r="L148" s="55"/>
      <c r="M148" s="53"/>
      <c r="N148" s="53"/>
    </row>
    <row r="149" customFormat="false" ht="16.5" hidden="false" customHeight="true" outlineLevel="0" collapsed="false">
      <c r="A149" s="52" t="n">
        <v>21</v>
      </c>
      <c r="B149" s="53"/>
      <c r="C149" s="53"/>
      <c r="D149" s="53"/>
      <c r="E149" s="59"/>
      <c r="F149" s="59"/>
      <c r="G149" s="60"/>
      <c r="H149" s="57" t="n">
        <f aca="false">IFERROR(E149*G149,"")</f>
        <v>0</v>
      </c>
      <c r="I149" s="53"/>
      <c r="J149" s="55"/>
      <c r="K149" s="55"/>
      <c r="L149" s="55"/>
      <c r="M149" s="53"/>
      <c r="N149" s="53"/>
    </row>
    <row r="150" customFormat="false" ht="16.5" hidden="false" customHeight="true" outlineLevel="0" collapsed="false">
      <c r="A150" s="52" t="n">
        <v>22</v>
      </c>
      <c r="B150" s="53"/>
      <c r="C150" s="53"/>
      <c r="D150" s="53"/>
      <c r="E150" s="59"/>
      <c r="F150" s="59"/>
      <c r="G150" s="60"/>
      <c r="H150" s="57" t="n">
        <f aca="false">IFERROR(E150*G150,"")</f>
        <v>0</v>
      </c>
      <c r="I150" s="53"/>
      <c r="J150" s="55"/>
      <c r="K150" s="55"/>
      <c r="L150" s="55"/>
      <c r="M150" s="53"/>
      <c r="N150" s="53"/>
    </row>
    <row r="151" customFormat="false" ht="16.5" hidden="false" customHeight="true" outlineLevel="0" collapsed="false">
      <c r="A151" s="52" t="n">
        <v>23</v>
      </c>
      <c r="B151" s="53"/>
      <c r="C151" s="53"/>
      <c r="D151" s="53"/>
      <c r="E151" s="59"/>
      <c r="F151" s="59"/>
      <c r="G151" s="60"/>
      <c r="H151" s="57" t="n">
        <f aca="false">IFERROR(E151*G151,"")</f>
        <v>0</v>
      </c>
      <c r="I151" s="53"/>
      <c r="J151" s="55"/>
      <c r="K151" s="55"/>
      <c r="L151" s="55"/>
      <c r="M151" s="53"/>
      <c r="N151" s="53"/>
    </row>
    <row r="152" customFormat="false" ht="16.5" hidden="false" customHeight="true" outlineLevel="0" collapsed="false">
      <c r="A152" s="52" t="n">
        <v>24</v>
      </c>
      <c r="B152" s="53"/>
      <c r="C152" s="53"/>
      <c r="D152" s="53"/>
      <c r="E152" s="59"/>
      <c r="F152" s="59"/>
      <c r="G152" s="60"/>
      <c r="H152" s="57" t="n">
        <f aca="false">IFERROR(E152*G152,"")</f>
        <v>0</v>
      </c>
      <c r="I152" s="53"/>
      <c r="J152" s="55"/>
      <c r="K152" s="55"/>
      <c r="L152" s="55"/>
      <c r="M152" s="53"/>
      <c r="N152" s="53"/>
    </row>
    <row r="153" customFormat="false" ht="16.5" hidden="false" customHeight="true" outlineLevel="0" collapsed="false">
      <c r="A153" s="52" t="n">
        <v>25</v>
      </c>
      <c r="B153" s="53"/>
      <c r="C153" s="53"/>
      <c r="D153" s="53"/>
      <c r="E153" s="59"/>
      <c r="F153" s="59"/>
      <c r="G153" s="60"/>
      <c r="H153" s="57" t="n">
        <f aca="false">IFERROR(E153*G153,"")</f>
        <v>0</v>
      </c>
      <c r="I153" s="53"/>
      <c r="J153" s="55"/>
      <c r="K153" s="55"/>
      <c r="L153" s="55"/>
      <c r="M153" s="53"/>
      <c r="N153" s="53"/>
    </row>
    <row r="154" customFormat="false" ht="16.5" hidden="false" customHeight="true" outlineLevel="0" collapsed="false">
      <c r="A154" s="52" t="n">
        <v>26</v>
      </c>
      <c r="B154" s="53"/>
      <c r="C154" s="53"/>
      <c r="D154" s="53"/>
      <c r="E154" s="59"/>
      <c r="F154" s="59"/>
      <c r="G154" s="60"/>
      <c r="H154" s="57" t="n">
        <f aca="false">IFERROR(E154*G154,"")</f>
        <v>0</v>
      </c>
      <c r="I154" s="53"/>
      <c r="J154" s="55"/>
      <c r="K154" s="55"/>
      <c r="L154" s="55"/>
      <c r="M154" s="53"/>
      <c r="N154" s="53"/>
    </row>
    <row r="155" customFormat="false" ht="16.5" hidden="false" customHeight="true" outlineLevel="0" collapsed="false">
      <c r="A155" s="52" t="n">
        <v>27</v>
      </c>
      <c r="B155" s="53"/>
      <c r="C155" s="53"/>
      <c r="D155" s="53"/>
      <c r="E155" s="59"/>
      <c r="F155" s="59"/>
      <c r="G155" s="60"/>
      <c r="H155" s="57" t="n">
        <f aca="false">IFERROR(E155*G155,"")</f>
        <v>0</v>
      </c>
      <c r="I155" s="53"/>
      <c r="J155" s="55"/>
      <c r="K155" s="55"/>
      <c r="L155" s="55"/>
      <c r="M155" s="53"/>
      <c r="N155" s="53"/>
    </row>
    <row r="156" customFormat="false" ht="16.5" hidden="false" customHeight="true" outlineLevel="0" collapsed="false">
      <c r="A156" s="52" t="n">
        <v>28</v>
      </c>
      <c r="B156" s="53"/>
      <c r="C156" s="53"/>
      <c r="D156" s="53"/>
      <c r="E156" s="59"/>
      <c r="F156" s="59"/>
      <c r="G156" s="60"/>
      <c r="H156" s="57" t="n">
        <f aca="false">IFERROR(E156*G156,"")</f>
        <v>0</v>
      </c>
      <c r="I156" s="53"/>
      <c r="J156" s="55"/>
      <c r="K156" s="55"/>
      <c r="L156" s="55"/>
      <c r="M156" s="53"/>
      <c r="N156" s="53"/>
    </row>
    <row r="157" customFormat="false" ht="16.5" hidden="false" customHeight="true" outlineLevel="0" collapsed="false">
      <c r="A157" s="52" t="n">
        <v>29</v>
      </c>
      <c r="B157" s="53"/>
      <c r="C157" s="53"/>
      <c r="D157" s="53"/>
      <c r="E157" s="59"/>
      <c r="F157" s="59"/>
      <c r="G157" s="60"/>
      <c r="H157" s="57" t="n">
        <f aca="false">IFERROR(E157*G157,"")</f>
        <v>0</v>
      </c>
      <c r="I157" s="53"/>
      <c r="J157" s="55"/>
      <c r="K157" s="55"/>
      <c r="L157" s="55"/>
      <c r="M157" s="53"/>
      <c r="N157" s="53"/>
    </row>
    <row r="158" customFormat="false" ht="16.5" hidden="false" customHeight="true" outlineLevel="0" collapsed="false">
      <c r="A158" s="52" t="n">
        <v>30</v>
      </c>
      <c r="B158" s="53"/>
      <c r="C158" s="53"/>
      <c r="D158" s="53"/>
      <c r="E158" s="59"/>
      <c r="F158" s="59"/>
      <c r="G158" s="60"/>
      <c r="H158" s="57" t="n">
        <f aca="false">IFERROR(E158*G158,"")</f>
        <v>0</v>
      </c>
      <c r="I158" s="53"/>
      <c r="J158" s="55"/>
      <c r="K158" s="55"/>
      <c r="L158" s="55"/>
      <c r="M158" s="53"/>
      <c r="N158" s="53"/>
    </row>
    <row r="159" customFormat="false" ht="16.5" hidden="false" customHeight="true" outlineLevel="0" collapsed="false">
      <c r="A159" s="52" t="n">
        <v>31</v>
      </c>
      <c r="B159" s="53"/>
      <c r="C159" s="53"/>
      <c r="D159" s="53"/>
      <c r="E159" s="59"/>
      <c r="F159" s="59"/>
      <c r="G159" s="60"/>
      <c r="H159" s="57" t="n">
        <f aca="false">IFERROR(E159*G159,"")</f>
        <v>0</v>
      </c>
      <c r="I159" s="53"/>
      <c r="J159" s="55"/>
      <c r="K159" s="55"/>
      <c r="L159" s="55"/>
      <c r="M159" s="53"/>
      <c r="N159" s="53"/>
    </row>
    <row r="160" customFormat="false" ht="16.5" hidden="false" customHeight="true" outlineLevel="0" collapsed="false">
      <c r="A160" s="52" t="n">
        <v>32</v>
      </c>
      <c r="B160" s="53"/>
      <c r="C160" s="53"/>
      <c r="D160" s="53"/>
      <c r="E160" s="59"/>
      <c r="F160" s="59"/>
      <c r="G160" s="60"/>
      <c r="H160" s="57" t="n">
        <f aca="false">IFERROR(E160*G160,"")</f>
        <v>0</v>
      </c>
      <c r="I160" s="53"/>
      <c r="J160" s="55"/>
      <c r="K160" s="55"/>
      <c r="L160" s="55"/>
      <c r="M160" s="53"/>
      <c r="N160" s="53"/>
    </row>
    <row r="161" customFormat="false" ht="16.5" hidden="false" customHeight="true" outlineLevel="0" collapsed="false">
      <c r="A161" s="52" t="n">
        <v>33</v>
      </c>
      <c r="B161" s="53"/>
      <c r="C161" s="53"/>
      <c r="D161" s="53"/>
      <c r="E161" s="59"/>
      <c r="F161" s="59"/>
      <c r="G161" s="60"/>
      <c r="H161" s="57" t="n">
        <f aca="false">IFERROR(E161*G161,"")</f>
        <v>0</v>
      </c>
      <c r="I161" s="53"/>
      <c r="J161" s="55"/>
      <c r="K161" s="55"/>
      <c r="L161" s="55"/>
      <c r="M161" s="53"/>
      <c r="N161" s="53"/>
    </row>
    <row r="162" customFormat="false" ht="16.5" hidden="false" customHeight="true" outlineLevel="0" collapsed="false">
      <c r="A162" s="52" t="n">
        <v>34</v>
      </c>
      <c r="B162" s="53"/>
      <c r="C162" s="53"/>
      <c r="D162" s="53"/>
      <c r="E162" s="59"/>
      <c r="F162" s="59"/>
      <c r="G162" s="60"/>
      <c r="H162" s="57" t="n">
        <f aca="false">IFERROR(E162*G162,"")</f>
        <v>0</v>
      </c>
      <c r="I162" s="53"/>
      <c r="J162" s="55"/>
      <c r="K162" s="55"/>
      <c r="L162" s="55"/>
      <c r="M162" s="53"/>
      <c r="N162" s="53"/>
    </row>
    <row r="163" customFormat="false" ht="16.5" hidden="false" customHeight="true" outlineLevel="0" collapsed="false">
      <c r="A163" s="52" t="n">
        <v>35</v>
      </c>
      <c r="B163" s="53"/>
      <c r="C163" s="53"/>
      <c r="D163" s="53"/>
      <c r="E163" s="59"/>
      <c r="F163" s="59"/>
      <c r="G163" s="60"/>
      <c r="H163" s="57" t="n">
        <f aca="false">IFERROR(E163*G163,"")</f>
        <v>0</v>
      </c>
      <c r="I163" s="53"/>
      <c r="J163" s="55"/>
      <c r="K163" s="55"/>
      <c r="L163" s="55"/>
      <c r="M163" s="53"/>
      <c r="N163" s="53"/>
    </row>
    <row r="164" customFormat="false" ht="16.5" hidden="false" customHeight="true" outlineLevel="0" collapsed="false">
      <c r="A164" s="52" t="n">
        <v>36</v>
      </c>
      <c r="B164" s="53"/>
      <c r="C164" s="53"/>
      <c r="D164" s="53"/>
      <c r="E164" s="59"/>
      <c r="F164" s="59"/>
      <c r="G164" s="60"/>
      <c r="H164" s="57" t="n">
        <f aca="false">IFERROR(E164*G164,"")</f>
        <v>0</v>
      </c>
      <c r="I164" s="53"/>
      <c r="J164" s="55"/>
      <c r="K164" s="55"/>
      <c r="L164" s="55"/>
      <c r="M164" s="53"/>
      <c r="N164" s="53"/>
    </row>
    <row r="165" customFormat="false" ht="16.5" hidden="false" customHeight="true" outlineLevel="0" collapsed="false">
      <c r="A165" s="52" t="n">
        <v>37</v>
      </c>
      <c r="B165" s="53"/>
      <c r="C165" s="53"/>
      <c r="D165" s="53"/>
      <c r="E165" s="59"/>
      <c r="F165" s="59"/>
      <c r="G165" s="60"/>
      <c r="H165" s="57" t="n">
        <f aca="false">IFERROR(E165*G165,"")</f>
        <v>0</v>
      </c>
      <c r="I165" s="53"/>
      <c r="J165" s="55"/>
      <c r="K165" s="55"/>
      <c r="L165" s="55"/>
      <c r="M165" s="53"/>
      <c r="N165" s="53"/>
    </row>
    <row r="166" customFormat="false" ht="16.5" hidden="false" customHeight="true" outlineLevel="0" collapsed="false">
      <c r="A166" s="52" t="n">
        <v>38</v>
      </c>
      <c r="B166" s="53"/>
      <c r="C166" s="53"/>
      <c r="D166" s="53"/>
      <c r="E166" s="59"/>
      <c r="F166" s="59"/>
      <c r="G166" s="60"/>
      <c r="H166" s="57" t="n">
        <f aca="false">IFERROR(E166*G166,"")</f>
        <v>0</v>
      </c>
      <c r="I166" s="53"/>
      <c r="J166" s="55"/>
      <c r="K166" s="55"/>
      <c r="L166" s="55"/>
      <c r="M166" s="53"/>
      <c r="N166" s="53"/>
    </row>
    <row r="167" customFormat="false" ht="16.5" hidden="false" customHeight="true" outlineLevel="0" collapsed="false">
      <c r="A167" s="52" t="n">
        <v>39</v>
      </c>
      <c r="B167" s="53"/>
      <c r="C167" s="53"/>
      <c r="D167" s="53"/>
      <c r="E167" s="59"/>
      <c r="F167" s="59"/>
      <c r="G167" s="60"/>
      <c r="H167" s="57" t="n">
        <f aca="false">IFERROR(E167*G167,"")</f>
        <v>0</v>
      </c>
      <c r="I167" s="53"/>
      <c r="J167" s="55"/>
      <c r="K167" s="55"/>
      <c r="L167" s="55"/>
      <c r="M167" s="53"/>
      <c r="N167" s="53"/>
    </row>
    <row r="168" customFormat="false" ht="16.5" hidden="false" customHeight="true" outlineLevel="0" collapsed="false">
      <c r="A168" s="52" t="n">
        <v>40</v>
      </c>
      <c r="B168" s="53"/>
      <c r="C168" s="53"/>
      <c r="D168" s="53"/>
      <c r="E168" s="59"/>
      <c r="F168" s="59"/>
      <c r="G168" s="60"/>
      <c r="H168" s="57" t="n">
        <f aca="false">IFERROR(E168*G168,"")</f>
        <v>0</v>
      </c>
      <c r="I168" s="53"/>
      <c r="J168" s="55"/>
      <c r="K168" s="55"/>
      <c r="L168" s="55"/>
      <c r="M168" s="53"/>
      <c r="N168" s="53"/>
    </row>
    <row r="169" customFormat="false" ht="16.5" hidden="false" customHeight="true" outlineLevel="0" collapsed="false">
      <c r="A169" s="52" t="n">
        <v>41</v>
      </c>
      <c r="B169" s="53"/>
      <c r="C169" s="53"/>
      <c r="D169" s="53"/>
      <c r="E169" s="59"/>
      <c r="F169" s="59"/>
      <c r="G169" s="60"/>
      <c r="H169" s="57" t="n">
        <f aca="false">IFERROR(E169*G169,"")</f>
        <v>0</v>
      </c>
      <c r="I169" s="53"/>
      <c r="J169" s="55"/>
      <c r="K169" s="55"/>
      <c r="L169" s="55"/>
      <c r="M169" s="53"/>
      <c r="N169" s="53"/>
    </row>
    <row r="170" customFormat="false" ht="16.5" hidden="false" customHeight="true" outlineLevel="0" collapsed="false">
      <c r="A170" s="52" t="n">
        <v>42</v>
      </c>
      <c r="B170" s="53"/>
      <c r="C170" s="53"/>
      <c r="D170" s="53"/>
      <c r="E170" s="59"/>
      <c r="F170" s="59"/>
      <c r="G170" s="60"/>
      <c r="H170" s="57" t="n">
        <f aca="false">IFERROR(E170*G170,"")</f>
        <v>0</v>
      </c>
      <c r="I170" s="53"/>
      <c r="J170" s="55"/>
      <c r="K170" s="55"/>
      <c r="L170" s="55"/>
      <c r="M170" s="53"/>
      <c r="N170" s="53"/>
    </row>
    <row r="171" customFormat="false" ht="16.5" hidden="false" customHeight="true" outlineLevel="0" collapsed="false">
      <c r="A171" s="52" t="n">
        <v>43</v>
      </c>
      <c r="B171" s="53"/>
      <c r="C171" s="53"/>
      <c r="D171" s="53"/>
      <c r="E171" s="59"/>
      <c r="F171" s="59"/>
      <c r="G171" s="60"/>
      <c r="H171" s="57" t="n">
        <f aca="false">IFERROR(E171*G171,"")</f>
        <v>0</v>
      </c>
      <c r="I171" s="53"/>
      <c r="J171" s="55"/>
      <c r="K171" s="55"/>
      <c r="L171" s="55"/>
      <c r="M171" s="53"/>
      <c r="N171" s="53"/>
    </row>
    <row r="172" customFormat="false" ht="16.5" hidden="false" customHeight="true" outlineLevel="0" collapsed="false">
      <c r="A172" s="52" t="n">
        <v>44</v>
      </c>
      <c r="B172" s="53"/>
      <c r="C172" s="53"/>
      <c r="D172" s="53"/>
      <c r="E172" s="59"/>
      <c r="F172" s="59"/>
      <c r="G172" s="60"/>
      <c r="H172" s="57" t="n">
        <f aca="false">IFERROR(E172*G172,"")</f>
        <v>0</v>
      </c>
      <c r="I172" s="53"/>
      <c r="J172" s="55"/>
      <c r="K172" s="55"/>
      <c r="L172" s="55"/>
      <c r="M172" s="53"/>
      <c r="N172" s="53"/>
    </row>
    <row r="173" customFormat="false" ht="16.5" hidden="false" customHeight="true" outlineLevel="0" collapsed="false">
      <c r="A173" s="52" t="n">
        <v>45</v>
      </c>
      <c r="B173" s="53"/>
      <c r="C173" s="53"/>
      <c r="D173" s="53"/>
      <c r="E173" s="59"/>
      <c r="F173" s="59"/>
      <c r="G173" s="60"/>
      <c r="H173" s="57" t="n">
        <f aca="false">IFERROR(E173*G173,"")</f>
        <v>0</v>
      </c>
      <c r="I173" s="53"/>
      <c r="J173" s="55"/>
      <c r="K173" s="55"/>
      <c r="L173" s="55"/>
      <c r="M173" s="53"/>
      <c r="N173" s="53"/>
    </row>
    <row r="174" customFormat="false" ht="16.5" hidden="false" customHeight="true" outlineLevel="0" collapsed="false">
      <c r="A174" s="52" t="n">
        <v>46</v>
      </c>
      <c r="B174" s="53"/>
      <c r="C174" s="53"/>
      <c r="D174" s="53"/>
      <c r="E174" s="59"/>
      <c r="F174" s="59"/>
      <c r="G174" s="60"/>
      <c r="H174" s="57" t="n">
        <f aca="false">IFERROR(E174*G174,"")</f>
        <v>0</v>
      </c>
      <c r="I174" s="53"/>
      <c r="J174" s="55"/>
      <c r="K174" s="55"/>
      <c r="L174" s="55"/>
      <c r="M174" s="53"/>
      <c r="N174" s="53"/>
    </row>
    <row r="175" customFormat="false" ht="16.5" hidden="false" customHeight="true" outlineLevel="0" collapsed="false">
      <c r="A175" s="52" t="n">
        <v>47</v>
      </c>
      <c r="B175" s="53"/>
      <c r="C175" s="53"/>
      <c r="D175" s="53"/>
      <c r="E175" s="59"/>
      <c r="F175" s="59"/>
      <c r="G175" s="60"/>
      <c r="H175" s="57" t="n">
        <f aca="false">IFERROR(E175*G175,"")</f>
        <v>0</v>
      </c>
      <c r="I175" s="53"/>
      <c r="J175" s="55"/>
      <c r="K175" s="55"/>
      <c r="L175" s="55"/>
      <c r="M175" s="53"/>
      <c r="N175" s="53"/>
    </row>
    <row r="176" customFormat="false" ht="16.5" hidden="false" customHeight="true" outlineLevel="0" collapsed="false">
      <c r="A176" s="52" t="n">
        <v>48</v>
      </c>
      <c r="B176" s="53"/>
      <c r="C176" s="53"/>
      <c r="D176" s="53"/>
      <c r="E176" s="59"/>
      <c r="F176" s="59"/>
      <c r="G176" s="60"/>
      <c r="H176" s="57" t="n">
        <f aca="false">IFERROR(E176*G176,"")</f>
        <v>0</v>
      </c>
      <c r="I176" s="53"/>
      <c r="J176" s="55"/>
      <c r="K176" s="55"/>
      <c r="L176" s="55"/>
      <c r="M176" s="53"/>
      <c r="N176" s="53"/>
    </row>
    <row r="177" customFormat="false" ht="16.5" hidden="false" customHeight="true" outlineLevel="0" collapsed="false">
      <c r="A177" s="52" t="n">
        <v>49</v>
      </c>
      <c r="B177" s="53"/>
      <c r="C177" s="53"/>
      <c r="D177" s="53"/>
      <c r="E177" s="59"/>
      <c r="F177" s="59"/>
      <c r="G177" s="60"/>
      <c r="H177" s="57" t="n">
        <f aca="false">IFERROR(E177*G177,"")</f>
        <v>0</v>
      </c>
      <c r="I177" s="53"/>
      <c r="J177" s="55"/>
      <c r="K177" s="55"/>
      <c r="L177" s="55"/>
      <c r="M177" s="53"/>
      <c r="N177" s="53"/>
    </row>
    <row r="178" customFormat="false" ht="16.5" hidden="false" customHeight="true" outlineLevel="0" collapsed="false">
      <c r="A178" s="52" t="n">
        <v>50</v>
      </c>
      <c r="B178" s="53"/>
      <c r="C178" s="53"/>
      <c r="D178" s="53"/>
      <c r="E178" s="59"/>
      <c r="F178" s="59"/>
      <c r="G178" s="60"/>
      <c r="H178" s="57" t="n">
        <f aca="false">IFERROR(E178*G178,"")</f>
        <v>0</v>
      </c>
      <c r="I178" s="53"/>
      <c r="J178" s="55"/>
      <c r="K178" s="55"/>
      <c r="L178" s="55"/>
      <c r="M178" s="53"/>
      <c r="N178" s="53"/>
    </row>
    <row r="179" customFormat="false" ht="15" hidden="false" customHeight="true" outlineLevel="0" collapsed="false">
      <c r="A179" s="56" t="s">
        <v>260</v>
      </c>
      <c r="B179" s="56"/>
      <c r="C179" s="56"/>
      <c r="D179" s="56"/>
      <c r="E179" s="61" t="n">
        <f aca="false">IFERROR(SUM(E129:E178),0)</f>
        <v>0</v>
      </c>
      <c r="F179" s="61" t="n">
        <f aca="false">IFERROR(SUM(F129:F178),0)</f>
        <v>0</v>
      </c>
      <c r="G179" s="62" t="s">
        <v>298</v>
      </c>
      <c r="H179" s="57" t="n">
        <f aca="false">IFERROR(SUM(H129:H178),0)</f>
        <v>0</v>
      </c>
    </row>
    <row r="180" customFormat="false" ht="19.5" hidden="false" customHeight="true" outlineLevel="0" collapsed="false">
      <c r="A180" s="27" t="s">
        <v>299</v>
      </c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</row>
  </sheetData>
  <mergeCells count="16">
    <mergeCell ref="A1:D1"/>
    <mergeCell ref="A2:D2"/>
    <mergeCell ref="A5:D5"/>
    <mergeCell ref="A24:D24"/>
    <mergeCell ref="A34:D34"/>
    <mergeCell ref="A43:D43"/>
    <mergeCell ref="A54:D54"/>
    <mergeCell ref="A68:D68"/>
    <mergeCell ref="A74:D74"/>
    <mergeCell ref="A85:D85"/>
    <mergeCell ref="A86:D86"/>
    <mergeCell ref="A89:I89"/>
    <mergeCell ref="A126:E126"/>
    <mergeCell ref="A127:E127"/>
    <mergeCell ref="A179:D179"/>
    <mergeCell ref="A180:N180"/>
  </mergeCells>
  <dataValidations count="181">
    <dataValidation allowBlank="true" error="Select a valid option from the list." errorStyle="stop" errorTitle="Invalid Input" operator="between" showDropDown="false" showErrorMessage="true" showInputMessage="false" sqref="B6" type="list">
      <formula1>"On Track,At Risk,Delayed,Not Started,Completed"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70" type="list">
      <formula1>"Low,Medium,High,Critical"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71" type="list">
      <formula1>"Green,Amber,Red"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76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77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78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79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80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81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82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83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1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1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2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2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3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3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4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4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5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5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6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6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7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7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8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8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9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9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0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0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1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1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2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2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3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3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4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4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5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5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6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6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7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7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8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8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9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9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0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0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1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1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2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2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3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3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4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4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5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5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6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6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7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7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8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8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9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9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20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20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21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21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22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22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23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23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24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24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25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25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29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29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0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0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1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1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2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2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3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3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4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4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5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5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6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6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7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7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8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8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9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9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0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0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1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1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2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2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3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3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4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4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5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5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6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6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7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7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8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8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9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9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0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0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1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1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2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2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3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3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4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4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5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5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6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6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7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7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8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8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9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9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0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0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1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1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2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2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3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3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4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4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5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5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6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6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7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7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8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8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9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9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0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0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1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1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2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2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3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3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4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4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5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5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6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6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7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7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8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8" type="list">
      <formula1>"Pending,Confirmed,In Production,Shipped,Delivered,On Hold,Cancelled"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4"/>
    <col collapsed="false" customWidth="true" hidden="false" outlineLevel="0" max="3" min="3" style="1" width="10"/>
    <col collapsed="false" customWidth="true" hidden="false" outlineLevel="0" max="4" min="4" style="1" width="38"/>
    <col collapsed="false" customWidth="true" hidden="false" outlineLevel="0" max="5" min="5" style="1" width="20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8"/>
    <col collapsed="false" customWidth="true" hidden="false" outlineLevel="0" max="9" min="9" style="1" width="20"/>
    <col collapsed="false" customWidth="true" hidden="false" outlineLevel="0" max="10" min="10" style="1" width="13"/>
    <col collapsed="false" customWidth="true" hidden="false" outlineLevel="0" max="12" min="11" style="1" width="14"/>
    <col collapsed="false" customWidth="true" hidden="false" outlineLevel="0" max="13" min="13" style="1" width="16"/>
    <col collapsed="false" customWidth="true" hidden="false" outlineLevel="0" max="14" min="14" style="1" width="26"/>
  </cols>
  <sheetData>
    <row r="1" customFormat="false" ht="21.75" hidden="false" customHeight="true" outlineLevel="0" collapsed="false">
      <c r="A1" s="2" t="s">
        <v>348</v>
      </c>
      <c r="B1" s="2"/>
      <c r="C1" s="2"/>
      <c r="D1" s="2"/>
    </row>
    <row r="2" customFormat="false" ht="16.5" hidden="false" customHeight="true" outlineLevel="0" collapsed="false">
      <c r="A2" s="3" t="s">
        <v>87</v>
      </c>
      <c r="B2" s="3"/>
      <c r="C2" s="3"/>
      <c r="D2" s="3"/>
    </row>
    <row r="3" customFormat="false" ht="16.5" hidden="false" customHeight="true" outlineLevel="0" collapsed="false">
      <c r="A3" s="28" t="s">
        <v>88</v>
      </c>
      <c r="B3" s="29"/>
      <c r="C3" s="30" t="s">
        <v>89</v>
      </c>
      <c r="D3" s="31"/>
    </row>
    <row r="4" customFormat="false" ht="4.5" hidden="false" customHeight="true" outlineLevel="0" collapsed="false"/>
    <row r="5" customFormat="false" ht="19.5" hidden="false" customHeight="true" outlineLevel="0" collapsed="false">
      <c r="A5" s="32" t="s">
        <v>90</v>
      </c>
      <c r="B5" s="32"/>
      <c r="C5" s="32"/>
      <c r="D5" s="32"/>
    </row>
    <row r="6" customFormat="false" ht="18" hidden="false" customHeight="true" outlineLevel="0" collapsed="false">
      <c r="A6" s="33" t="s">
        <v>91</v>
      </c>
      <c r="B6" s="34"/>
      <c r="C6" s="35"/>
      <c r="D6" s="36" t="s">
        <v>93</v>
      </c>
    </row>
    <row r="7" customFormat="false" ht="18" hidden="false" customHeight="true" outlineLevel="0" collapsed="false">
      <c r="A7" s="37" t="s">
        <v>94</v>
      </c>
      <c r="B7" s="38"/>
      <c r="C7" s="35" t="s">
        <v>95</v>
      </c>
      <c r="D7" s="36" t="s">
        <v>96</v>
      </c>
    </row>
    <row r="8" customFormat="false" ht="18" hidden="false" customHeight="true" outlineLevel="0" collapsed="false">
      <c r="A8" s="33" t="s">
        <v>97</v>
      </c>
      <c r="B8" s="39" t="n">
        <f aca="false">IFERROR(SUMIF(H91:H125,"Spent",F91:F125),0)</f>
        <v>0</v>
      </c>
      <c r="C8" s="35" t="s">
        <v>95</v>
      </c>
      <c r="D8" s="36" t="s">
        <v>98</v>
      </c>
    </row>
    <row r="9" customFormat="false" ht="18" hidden="false" customHeight="true" outlineLevel="0" collapsed="false">
      <c r="A9" s="37" t="s">
        <v>99</v>
      </c>
      <c r="B9" s="39" t="n">
        <f aca="false">IFERROR(SUMIF(H91:H125,"Committed",F91:F125),0)</f>
        <v>0</v>
      </c>
      <c r="C9" s="35" t="s">
        <v>95</v>
      </c>
      <c r="D9" s="36" t="s">
        <v>98</v>
      </c>
    </row>
    <row r="10" customFormat="false" ht="18" hidden="false" customHeight="true" outlineLevel="0" collapsed="false">
      <c r="A10" s="33" t="s">
        <v>100</v>
      </c>
      <c r="B10" s="40" t="n">
        <f aca="false">IFERROR(B7-B8-B9,"")</f>
        <v>0</v>
      </c>
      <c r="C10" s="35" t="s">
        <v>95</v>
      </c>
      <c r="D10" s="36" t="s">
        <v>101</v>
      </c>
    </row>
    <row r="11" customFormat="false" ht="18" hidden="false" customHeight="true" outlineLevel="0" collapsed="false">
      <c r="A11" s="37" t="s">
        <v>102</v>
      </c>
      <c r="B11" s="41" t="str">
        <f aca="false">IFERROR(B8/B7,"")</f>
        <v/>
      </c>
      <c r="C11" s="35" t="s">
        <v>103</v>
      </c>
      <c r="D11" s="36" t="s">
        <v>104</v>
      </c>
    </row>
    <row r="12" customFormat="false" ht="18" hidden="false" customHeight="true" outlineLevel="0" collapsed="false">
      <c r="A12" s="33" t="s">
        <v>105</v>
      </c>
      <c r="B12" s="42"/>
      <c r="C12" s="35" t="s">
        <v>106</v>
      </c>
      <c r="D12" s="36" t="s">
        <v>107</v>
      </c>
    </row>
    <row r="13" customFormat="false" ht="18" hidden="false" customHeight="true" outlineLevel="0" collapsed="false">
      <c r="A13" s="37" t="s">
        <v>108</v>
      </c>
      <c r="B13" s="42"/>
      <c r="C13" s="35" t="s">
        <v>106</v>
      </c>
      <c r="D13" s="36" t="s">
        <v>109</v>
      </c>
    </row>
    <row r="14" customFormat="false" ht="18" hidden="false" customHeight="true" outlineLevel="0" collapsed="false">
      <c r="A14" s="33" t="s">
        <v>110</v>
      </c>
      <c r="B14" s="41" t="str">
        <f aca="false">IFERROR(B13/B12,"")</f>
        <v/>
      </c>
      <c r="C14" s="35" t="s">
        <v>103</v>
      </c>
      <c r="D14" s="36" t="s">
        <v>104</v>
      </c>
    </row>
    <row r="15" customFormat="false" ht="18" hidden="false" customHeight="true" outlineLevel="0" collapsed="false">
      <c r="A15" s="37" t="s">
        <v>111</v>
      </c>
      <c r="B15" s="31"/>
      <c r="C15" s="35" t="s">
        <v>112</v>
      </c>
      <c r="D15" s="36" t="s">
        <v>113</v>
      </c>
    </row>
    <row r="16" customFormat="false" ht="18" hidden="false" customHeight="true" outlineLevel="0" collapsed="false">
      <c r="A16" s="33" t="s">
        <v>114</v>
      </c>
      <c r="B16" s="31"/>
      <c r="C16" s="35" t="s">
        <v>112</v>
      </c>
      <c r="D16" s="36" t="s">
        <v>115</v>
      </c>
    </row>
    <row r="17" customFormat="false" ht="18" hidden="false" customHeight="true" outlineLevel="0" collapsed="false">
      <c r="A17" s="37" t="s">
        <v>116</v>
      </c>
      <c r="B17" s="41" t="str">
        <f aca="false">IFERROR(B16/B15,"")</f>
        <v/>
      </c>
      <c r="C17" s="35" t="s">
        <v>103</v>
      </c>
      <c r="D17" s="36" t="s">
        <v>104</v>
      </c>
    </row>
    <row r="18" customFormat="false" ht="18" hidden="false" customHeight="true" outlineLevel="0" collapsed="false">
      <c r="A18" s="33" t="s">
        <v>117</v>
      </c>
      <c r="B18" s="29"/>
      <c r="C18" s="35" t="s">
        <v>118</v>
      </c>
      <c r="D18" s="36" t="s">
        <v>119</v>
      </c>
    </row>
    <row r="19" customFormat="false" ht="18" hidden="false" customHeight="true" outlineLevel="0" collapsed="false">
      <c r="A19" s="37" t="s">
        <v>120</v>
      </c>
      <c r="B19" s="29"/>
      <c r="C19" s="35" t="s">
        <v>118</v>
      </c>
      <c r="D19" s="36" t="s">
        <v>121</v>
      </c>
    </row>
    <row r="20" customFormat="false" ht="18" hidden="false" customHeight="true" outlineLevel="0" collapsed="false">
      <c r="A20" s="33" t="s">
        <v>122</v>
      </c>
      <c r="B20" s="29"/>
      <c r="C20" s="35" t="s">
        <v>118</v>
      </c>
      <c r="D20" s="36" t="s">
        <v>123</v>
      </c>
    </row>
    <row r="21" customFormat="false" ht="18" hidden="false" customHeight="true" outlineLevel="0" collapsed="false">
      <c r="A21" s="37" t="s">
        <v>124</v>
      </c>
      <c r="B21" s="31"/>
      <c r="C21" s="35"/>
      <c r="D21" s="36" t="s">
        <v>126</v>
      </c>
    </row>
    <row r="22" customFormat="false" ht="18" hidden="false" customHeight="true" outlineLevel="0" collapsed="false">
      <c r="A22" s="33" t="s">
        <v>127</v>
      </c>
      <c r="B22" s="31"/>
      <c r="C22" s="35"/>
      <c r="D22" s="36" t="s">
        <v>129</v>
      </c>
    </row>
    <row r="23" customFormat="false" ht="4.5" hidden="false" customHeight="true" outlineLevel="0" collapsed="false"/>
    <row r="24" customFormat="false" ht="19.5" hidden="false" customHeight="true" outlineLevel="0" collapsed="false">
      <c r="A24" s="32" t="s">
        <v>130</v>
      </c>
      <c r="B24" s="32"/>
      <c r="C24" s="32"/>
      <c r="D24" s="32"/>
    </row>
    <row r="25" customFormat="false" ht="16.5" hidden="false" customHeight="true" outlineLevel="0" collapsed="false">
      <c r="A25" s="37" t="s">
        <v>131</v>
      </c>
      <c r="B25" s="31"/>
      <c r="C25" s="35" t="s">
        <v>133</v>
      </c>
      <c r="D25" s="36" t="s">
        <v>134</v>
      </c>
    </row>
    <row r="26" customFormat="false" ht="16.5" hidden="false" customHeight="true" outlineLevel="0" collapsed="false">
      <c r="A26" s="33" t="s">
        <v>135</v>
      </c>
      <c r="B26" s="31"/>
      <c r="C26" s="35" t="s">
        <v>133</v>
      </c>
      <c r="D26" s="36" t="s">
        <v>134</v>
      </c>
    </row>
    <row r="27" customFormat="false" ht="16.5" hidden="false" customHeight="true" outlineLevel="0" collapsed="false">
      <c r="A27" s="37" t="s">
        <v>137</v>
      </c>
      <c r="B27" s="31"/>
      <c r="C27" s="35" t="s">
        <v>133</v>
      </c>
      <c r="D27" s="36" t="s">
        <v>134</v>
      </c>
    </row>
    <row r="28" customFormat="false" ht="16.5" hidden="false" customHeight="true" outlineLevel="0" collapsed="false">
      <c r="A28" s="33" t="s">
        <v>139</v>
      </c>
      <c r="B28" s="31"/>
      <c r="C28" s="35" t="s">
        <v>133</v>
      </c>
      <c r="D28" s="36" t="s">
        <v>134</v>
      </c>
    </row>
    <row r="29" customFormat="false" ht="16.5" hidden="false" customHeight="true" outlineLevel="0" collapsed="false">
      <c r="A29" s="37" t="s">
        <v>141</v>
      </c>
      <c r="B29" s="31"/>
      <c r="C29" s="35" t="s">
        <v>133</v>
      </c>
      <c r="D29" s="36" t="s">
        <v>134</v>
      </c>
    </row>
    <row r="30" customFormat="false" ht="16.5" hidden="false" customHeight="true" outlineLevel="0" collapsed="false">
      <c r="A30" s="33" t="s">
        <v>143</v>
      </c>
      <c r="B30" s="31"/>
      <c r="C30" s="35" t="s">
        <v>133</v>
      </c>
      <c r="D30" s="36" t="s">
        <v>134</v>
      </c>
    </row>
    <row r="31" customFormat="false" ht="16.5" hidden="false" customHeight="true" outlineLevel="0" collapsed="false">
      <c r="A31" s="37" t="s">
        <v>144</v>
      </c>
      <c r="B31" s="31"/>
      <c r="C31" s="35" t="s">
        <v>133</v>
      </c>
      <c r="D31" s="36" t="s">
        <v>134</v>
      </c>
    </row>
    <row r="32" customFormat="false" ht="16.5" hidden="false" customHeight="true" outlineLevel="0" collapsed="false">
      <c r="A32" s="33" t="s">
        <v>145</v>
      </c>
      <c r="B32" s="31"/>
      <c r="C32" s="35" t="s">
        <v>133</v>
      </c>
      <c r="D32" s="36" t="s">
        <v>134</v>
      </c>
    </row>
    <row r="33" customFormat="false" ht="4.5" hidden="false" customHeight="true" outlineLevel="0" collapsed="false"/>
    <row r="34" customFormat="false" ht="19.5" hidden="false" customHeight="true" outlineLevel="0" collapsed="false">
      <c r="A34" s="32" t="s">
        <v>146</v>
      </c>
      <c r="B34" s="32"/>
      <c r="C34" s="32"/>
      <c r="D34" s="32"/>
    </row>
    <row r="35" customFormat="false" ht="18" hidden="false" customHeight="true" outlineLevel="0" collapsed="false">
      <c r="A35" s="33" t="s">
        <v>147</v>
      </c>
      <c r="B35" s="40" t="n">
        <f aca="false">IFERROR(COUNTIF(M129:M178,"Pending"),0)</f>
        <v>0</v>
      </c>
      <c r="C35" s="35" t="s">
        <v>106</v>
      </c>
      <c r="D35" s="36" t="s">
        <v>148</v>
      </c>
    </row>
    <row r="36" customFormat="false" ht="18" hidden="false" customHeight="true" outlineLevel="0" collapsed="false">
      <c r="A36" s="37" t="s">
        <v>149</v>
      </c>
      <c r="B36" s="40" t="n">
        <f aca="false">IFERROR(COUNTIF(M129:M178,"Confirmed"),0)</f>
        <v>0</v>
      </c>
      <c r="C36" s="35" t="s">
        <v>106</v>
      </c>
      <c r="D36" s="36" t="s">
        <v>148</v>
      </c>
    </row>
    <row r="37" customFormat="false" ht="18" hidden="false" customHeight="true" outlineLevel="0" collapsed="false">
      <c r="A37" s="33" t="s">
        <v>150</v>
      </c>
      <c r="B37" s="40" t="n">
        <f aca="false">IFERROR(COUNTIF(M129:M178,"In Production"),0)</f>
        <v>0</v>
      </c>
      <c r="C37" s="35" t="s">
        <v>106</v>
      </c>
      <c r="D37" s="36" t="s">
        <v>148</v>
      </c>
    </row>
    <row r="38" customFormat="false" ht="18" hidden="false" customHeight="true" outlineLevel="0" collapsed="false">
      <c r="A38" s="37" t="s">
        <v>151</v>
      </c>
      <c r="B38" s="40" t="n">
        <f aca="false">IFERROR(COUNTIF(M129:M178,"Shipped"),0)</f>
        <v>0</v>
      </c>
      <c r="C38" s="35" t="s">
        <v>106</v>
      </c>
      <c r="D38" s="36" t="s">
        <v>148</v>
      </c>
    </row>
    <row r="39" customFormat="false" ht="18" hidden="false" customHeight="true" outlineLevel="0" collapsed="false">
      <c r="A39" s="33" t="s">
        <v>152</v>
      </c>
      <c r="B39" s="40" t="n">
        <f aca="false">IFERROR(COUNTIF(M129:M178,"Delivered"),0)</f>
        <v>0</v>
      </c>
      <c r="C39" s="35" t="s">
        <v>106</v>
      </c>
      <c r="D39" s="36" t="s">
        <v>148</v>
      </c>
    </row>
    <row r="40" customFormat="false" ht="18" hidden="false" customHeight="true" outlineLevel="0" collapsed="false">
      <c r="A40" s="37" t="s">
        <v>153</v>
      </c>
      <c r="B40" s="40" t="n">
        <f aca="false">IFERROR(SUM(B35:B39),0)</f>
        <v>0</v>
      </c>
      <c r="C40" s="35" t="s">
        <v>106</v>
      </c>
      <c r="D40" s="36" t="s">
        <v>154</v>
      </c>
    </row>
    <row r="41" customFormat="false" ht="18" hidden="false" customHeight="true" outlineLevel="0" collapsed="false">
      <c r="A41" s="33" t="s">
        <v>155</v>
      </c>
      <c r="B41" s="43"/>
      <c r="C41" s="35" t="s">
        <v>103</v>
      </c>
      <c r="D41" s="36" t="s">
        <v>156</v>
      </c>
    </row>
    <row r="42" customFormat="false" ht="4.5" hidden="false" customHeight="true" outlineLevel="0" collapsed="false"/>
    <row r="43" customFormat="false" ht="19.5" hidden="false" customHeight="true" outlineLevel="0" collapsed="false">
      <c r="A43" s="32" t="s">
        <v>157</v>
      </c>
      <c r="B43" s="32"/>
      <c r="C43" s="32"/>
      <c r="D43" s="32"/>
    </row>
    <row r="44" customFormat="false" ht="18" hidden="false" customHeight="true" outlineLevel="0" collapsed="false">
      <c r="A44" s="33" t="s">
        <v>158</v>
      </c>
      <c r="B44" s="42"/>
      <c r="C44" s="35" t="s">
        <v>159</v>
      </c>
      <c r="D44" s="36" t="s">
        <v>160</v>
      </c>
    </row>
    <row r="45" customFormat="false" ht="18" hidden="false" customHeight="true" outlineLevel="0" collapsed="false">
      <c r="A45" s="37" t="s">
        <v>161</v>
      </c>
      <c r="B45" s="42"/>
      <c r="C45" s="35" t="s">
        <v>159</v>
      </c>
      <c r="D45" s="36" t="s">
        <v>162</v>
      </c>
    </row>
    <row r="46" customFormat="false" ht="18" hidden="false" customHeight="true" outlineLevel="0" collapsed="false">
      <c r="A46" s="33" t="s">
        <v>163</v>
      </c>
      <c r="B46" s="40" t="n">
        <f aca="false">IFERROR(B44+B45,"")</f>
        <v>0</v>
      </c>
      <c r="C46" s="35" t="s">
        <v>159</v>
      </c>
      <c r="D46" s="36" t="s">
        <v>104</v>
      </c>
    </row>
    <row r="47" customFormat="false" ht="18" hidden="false" customHeight="true" outlineLevel="0" collapsed="false">
      <c r="A47" s="37" t="s">
        <v>164</v>
      </c>
      <c r="B47" s="42"/>
      <c r="C47" s="35" t="s">
        <v>159</v>
      </c>
      <c r="D47" s="36" t="s">
        <v>165</v>
      </c>
    </row>
    <row r="48" customFormat="false" ht="18" hidden="false" customHeight="true" outlineLevel="0" collapsed="false">
      <c r="A48" s="33" t="s">
        <v>166</v>
      </c>
      <c r="B48" s="41" t="str">
        <f aca="false">IFERROR((B44+B45)/B47,"")</f>
        <v/>
      </c>
      <c r="C48" s="35" t="s">
        <v>103</v>
      </c>
      <c r="D48" s="36" t="s">
        <v>104</v>
      </c>
    </row>
    <row r="49" customFormat="false" ht="18" hidden="false" customHeight="true" outlineLevel="0" collapsed="false">
      <c r="A49" s="37" t="s">
        <v>167</v>
      </c>
      <c r="B49" s="31"/>
      <c r="C49" s="35" t="s">
        <v>169</v>
      </c>
      <c r="D49" s="36" t="s">
        <v>170</v>
      </c>
    </row>
    <row r="50" customFormat="false" ht="18" hidden="false" customHeight="true" outlineLevel="0" collapsed="false">
      <c r="A50" s="33" t="s">
        <v>171</v>
      </c>
      <c r="B50" s="31"/>
      <c r="C50" s="35" t="s">
        <v>169</v>
      </c>
      <c r="D50" s="36" t="s">
        <v>173</v>
      </c>
    </row>
    <row r="51" customFormat="false" ht="18" hidden="false" customHeight="true" outlineLevel="0" collapsed="false">
      <c r="A51" s="37" t="s">
        <v>174</v>
      </c>
      <c r="B51" s="31"/>
      <c r="C51" s="35" t="s">
        <v>169</v>
      </c>
      <c r="D51" s="36"/>
    </row>
    <row r="52" customFormat="false" ht="18" hidden="false" customHeight="true" outlineLevel="0" collapsed="false">
      <c r="A52" s="33" t="s">
        <v>176</v>
      </c>
      <c r="B52" s="31"/>
      <c r="C52" s="35" t="s">
        <v>169</v>
      </c>
      <c r="D52" s="36"/>
    </row>
    <row r="53" customFormat="false" ht="4.5" hidden="false" customHeight="true" outlineLevel="0" collapsed="false"/>
    <row r="54" customFormat="false" ht="19.5" hidden="false" customHeight="true" outlineLevel="0" collapsed="false">
      <c r="A54" s="32" t="s">
        <v>177</v>
      </c>
      <c r="B54" s="32"/>
      <c r="C54" s="32"/>
      <c r="D54" s="32"/>
    </row>
    <row r="55" customFormat="false" ht="18" hidden="false" customHeight="true" outlineLevel="0" collapsed="false">
      <c r="A55" s="33" t="s">
        <v>178</v>
      </c>
      <c r="B55" s="42"/>
      <c r="C55" s="35" t="s">
        <v>106</v>
      </c>
      <c r="D55" s="36" t="s">
        <v>179</v>
      </c>
    </row>
    <row r="56" customFormat="false" ht="18" hidden="false" customHeight="true" outlineLevel="0" collapsed="false">
      <c r="A56" s="37" t="s">
        <v>180</v>
      </c>
      <c r="B56" s="42"/>
      <c r="C56" s="35" t="s">
        <v>106</v>
      </c>
      <c r="D56" s="36" t="s">
        <v>181</v>
      </c>
    </row>
    <row r="57" customFormat="false" ht="18" hidden="false" customHeight="true" outlineLevel="0" collapsed="false">
      <c r="A57" s="33" t="s">
        <v>182</v>
      </c>
      <c r="B57" s="42"/>
      <c r="C57" s="35" t="s">
        <v>106</v>
      </c>
      <c r="D57" s="36" t="s">
        <v>183</v>
      </c>
    </row>
    <row r="58" customFormat="false" ht="18" hidden="false" customHeight="true" outlineLevel="0" collapsed="false">
      <c r="A58" s="37" t="s">
        <v>184</v>
      </c>
      <c r="B58" s="42"/>
      <c r="C58" s="35" t="s">
        <v>106</v>
      </c>
      <c r="D58" s="36" t="s">
        <v>185</v>
      </c>
    </row>
    <row r="59" customFormat="false" ht="18" hidden="false" customHeight="true" outlineLevel="0" collapsed="false">
      <c r="A59" s="33" t="s">
        <v>186</v>
      </c>
      <c r="B59" s="41" t="str">
        <f aca="false">IFERROR(B56/B55,"")</f>
        <v/>
      </c>
      <c r="C59" s="35" t="s">
        <v>103</v>
      </c>
      <c r="D59" s="36" t="s">
        <v>104</v>
      </c>
    </row>
    <row r="60" customFormat="false" ht="18" hidden="false" customHeight="true" outlineLevel="0" collapsed="false">
      <c r="A60" s="37" t="s">
        <v>187</v>
      </c>
      <c r="B60" s="41" t="str">
        <f aca="false">IFERROR(B57/B55,"")</f>
        <v/>
      </c>
      <c r="C60" s="35" t="s">
        <v>103</v>
      </c>
      <c r="D60" s="36" t="s">
        <v>104</v>
      </c>
    </row>
    <row r="61" customFormat="false" ht="18" hidden="false" customHeight="true" outlineLevel="0" collapsed="false">
      <c r="A61" s="33" t="s">
        <v>188</v>
      </c>
      <c r="B61" s="41" t="str">
        <f aca="false">IFERROR(B58/B55,"")</f>
        <v/>
      </c>
      <c r="C61" s="35" t="s">
        <v>103</v>
      </c>
      <c r="D61" s="36" t="s">
        <v>104</v>
      </c>
    </row>
    <row r="62" customFormat="false" ht="18" hidden="false" customHeight="true" outlineLevel="0" collapsed="false">
      <c r="A62" s="37" t="s">
        <v>189</v>
      </c>
      <c r="B62" s="31"/>
      <c r="C62" s="35"/>
      <c r="D62" s="36" t="s">
        <v>191</v>
      </c>
    </row>
    <row r="63" customFormat="false" ht="18" hidden="false" customHeight="true" outlineLevel="0" collapsed="false">
      <c r="A63" s="33" t="s">
        <v>192</v>
      </c>
      <c r="B63" s="31"/>
      <c r="C63" s="35"/>
      <c r="D63" s="36"/>
    </row>
    <row r="64" customFormat="false" ht="18" hidden="false" customHeight="true" outlineLevel="0" collapsed="false">
      <c r="A64" s="37" t="s">
        <v>194</v>
      </c>
      <c r="B64" s="31"/>
      <c r="C64" s="35"/>
      <c r="D64" s="36"/>
    </row>
    <row r="65" customFormat="false" ht="18" hidden="false" customHeight="true" outlineLevel="0" collapsed="false">
      <c r="A65" s="33" t="s">
        <v>196</v>
      </c>
      <c r="B65" s="31"/>
      <c r="C65" s="35"/>
      <c r="D65" s="36"/>
    </row>
    <row r="66" customFormat="false" ht="18" hidden="false" customHeight="true" outlineLevel="0" collapsed="false">
      <c r="A66" s="37" t="s">
        <v>198</v>
      </c>
      <c r="B66" s="31"/>
      <c r="C66" s="35"/>
      <c r="D66" s="36"/>
    </row>
    <row r="67" customFormat="false" ht="4.5" hidden="false" customHeight="true" outlineLevel="0" collapsed="false"/>
    <row r="68" customFormat="false" ht="19.5" hidden="false" customHeight="true" outlineLevel="0" collapsed="false">
      <c r="A68" s="32" t="s">
        <v>199</v>
      </c>
      <c r="B68" s="32"/>
      <c r="C68" s="32"/>
      <c r="D68" s="32"/>
    </row>
    <row r="69" customFormat="false" ht="18" hidden="false" customHeight="true" outlineLevel="0" collapsed="false">
      <c r="A69" s="33" t="s">
        <v>200</v>
      </c>
      <c r="B69" s="43"/>
      <c r="C69" s="35" t="s">
        <v>103</v>
      </c>
      <c r="D69" s="36" t="s">
        <v>201</v>
      </c>
    </row>
    <row r="70" customFormat="false" ht="18" hidden="false" customHeight="true" outlineLevel="0" collapsed="false">
      <c r="A70" s="37" t="s">
        <v>202</v>
      </c>
      <c r="B70" s="31"/>
      <c r="C70" s="35"/>
      <c r="D70" s="36" t="s">
        <v>204</v>
      </c>
    </row>
    <row r="71" customFormat="false" ht="18" hidden="false" customHeight="true" outlineLevel="0" collapsed="false">
      <c r="A71" s="33" t="s">
        <v>205</v>
      </c>
      <c r="B71" s="31"/>
      <c r="C71" s="35"/>
      <c r="D71" s="36" t="s">
        <v>206</v>
      </c>
    </row>
    <row r="72" customFormat="false" ht="18" hidden="false" customHeight="true" outlineLevel="0" collapsed="false">
      <c r="A72" s="37" t="s">
        <v>207</v>
      </c>
      <c r="B72" s="31"/>
      <c r="C72" s="35"/>
      <c r="D72" s="36" t="s">
        <v>208</v>
      </c>
    </row>
    <row r="73" customFormat="false" ht="4.5" hidden="false" customHeight="true" outlineLevel="0" collapsed="false"/>
    <row r="74" customFormat="false" ht="19.5" hidden="false" customHeight="true" outlineLevel="0" collapsed="false">
      <c r="A74" s="44" t="s">
        <v>209</v>
      </c>
      <c r="B74" s="44"/>
      <c r="C74" s="44"/>
      <c r="D74" s="44"/>
    </row>
    <row r="75" customFormat="false" ht="18" hidden="false" customHeight="true" outlineLevel="0" collapsed="false">
      <c r="A75" s="45" t="s">
        <v>210</v>
      </c>
      <c r="B75" s="45" t="s">
        <v>211</v>
      </c>
      <c r="C75" s="45" t="s">
        <v>212</v>
      </c>
      <c r="D75" s="45" t="s">
        <v>213</v>
      </c>
    </row>
    <row r="76" customFormat="false" ht="30" hidden="false" customHeight="true" outlineLevel="0" collapsed="false">
      <c r="A76" s="46" t="n">
        <v>1</v>
      </c>
      <c r="B76" s="47"/>
      <c r="C76" s="48"/>
      <c r="D76" s="48"/>
    </row>
    <row r="77" customFormat="false" ht="30" hidden="false" customHeight="true" outlineLevel="0" collapsed="false">
      <c r="A77" s="49" t="n">
        <v>2</v>
      </c>
      <c r="B77" s="47"/>
      <c r="C77" s="48"/>
      <c r="D77" s="48"/>
    </row>
    <row r="78" customFormat="false" ht="30" hidden="false" customHeight="true" outlineLevel="0" collapsed="false">
      <c r="A78" s="46" t="n">
        <v>3</v>
      </c>
      <c r="B78" s="47"/>
      <c r="C78" s="48"/>
      <c r="D78" s="48"/>
    </row>
    <row r="79" customFormat="false" ht="30" hidden="false" customHeight="true" outlineLevel="0" collapsed="false">
      <c r="A79" s="49" t="n">
        <v>4</v>
      </c>
      <c r="B79" s="47"/>
      <c r="C79" s="48"/>
      <c r="D79" s="48"/>
    </row>
    <row r="80" customFormat="false" ht="30" hidden="false" customHeight="true" outlineLevel="0" collapsed="false">
      <c r="A80" s="46" t="n">
        <v>5</v>
      </c>
      <c r="B80" s="47"/>
      <c r="C80" s="48"/>
      <c r="D80" s="48"/>
    </row>
    <row r="81" customFormat="false" ht="30" hidden="false" customHeight="true" outlineLevel="0" collapsed="false">
      <c r="A81" s="49" t="n">
        <v>6</v>
      </c>
      <c r="B81" s="47"/>
      <c r="C81" s="48"/>
      <c r="D81" s="48"/>
    </row>
    <row r="82" customFormat="false" ht="30" hidden="false" customHeight="true" outlineLevel="0" collapsed="false">
      <c r="A82" s="46" t="n">
        <v>7</v>
      </c>
      <c r="B82" s="47"/>
      <c r="C82" s="48"/>
      <c r="D82" s="48"/>
    </row>
    <row r="83" customFormat="false" ht="30" hidden="false" customHeight="true" outlineLevel="0" collapsed="false">
      <c r="A83" s="49" t="n">
        <v>8</v>
      </c>
      <c r="B83" s="47"/>
      <c r="C83" s="48"/>
      <c r="D83" s="48"/>
    </row>
    <row r="84" customFormat="false" ht="4.5" hidden="false" customHeight="true" outlineLevel="0" collapsed="false"/>
    <row r="85" customFormat="false" ht="13.5" hidden="false" customHeight="true" outlineLevel="0" collapsed="false">
      <c r="A85" s="26" t="s">
        <v>219</v>
      </c>
      <c r="B85" s="26"/>
      <c r="C85" s="26"/>
      <c r="D85" s="26"/>
    </row>
    <row r="86" customFormat="false" ht="13.5" hidden="false" customHeight="true" outlineLevel="0" collapsed="false">
      <c r="A86" s="50" t="s">
        <v>220</v>
      </c>
      <c r="B86" s="50"/>
      <c r="C86" s="50"/>
      <c r="D86" s="50"/>
    </row>
    <row r="87" customFormat="false" ht="7.5" hidden="false" customHeight="true" outlineLevel="0" collapsed="false"/>
    <row r="88" customFormat="false" ht="7.5" hidden="false" customHeight="true" outlineLevel="0" collapsed="false"/>
    <row r="89" customFormat="false" ht="19.5" hidden="false" customHeight="true" outlineLevel="0" collapsed="false">
      <c r="A89" s="32" t="s">
        <v>221</v>
      </c>
      <c r="B89" s="32"/>
      <c r="C89" s="32"/>
      <c r="D89" s="32"/>
      <c r="E89" s="32"/>
      <c r="F89" s="32"/>
      <c r="G89" s="32"/>
      <c r="H89" s="32"/>
      <c r="I89" s="32"/>
    </row>
    <row r="90" customFormat="false" ht="30" hidden="false" customHeight="true" outlineLevel="0" collapsed="false">
      <c r="A90" s="51" t="s">
        <v>106</v>
      </c>
      <c r="B90" s="51" t="s">
        <v>222</v>
      </c>
      <c r="C90" s="51" t="s">
        <v>223</v>
      </c>
      <c r="D90" s="51" t="s">
        <v>224</v>
      </c>
      <c r="E90" s="51" t="s">
        <v>225</v>
      </c>
      <c r="F90" s="51" t="s">
        <v>226</v>
      </c>
      <c r="G90" s="51" t="s">
        <v>227</v>
      </c>
      <c r="H90" s="51" t="s">
        <v>228</v>
      </c>
      <c r="I90" s="51" t="s">
        <v>229</v>
      </c>
    </row>
    <row r="91" customFormat="false" ht="16.5" hidden="false" customHeight="true" outlineLevel="0" collapsed="false">
      <c r="A91" s="52" t="n">
        <v>1</v>
      </c>
      <c r="B91" s="53"/>
      <c r="C91" s="53"/>
      <c r="D91" s="53"/>
      <c r="E91" s="53"/>
      <c r="F91" s="54"/>
      <c r="G91" s="55"/>
      <c r="H91" s="53"/>
      <c r="I91" s="53"/>
    </row>
    <row r="92" customFormat="false" ht="16.5" hidden="false" customHeight="true" outlineLevel="0" collapsed="false">
      <c r="A92" s="52" t="n">
        <v>2</v>
      </c>
      <c r="B92" s="53"/>
      <c r="C92" s="53"/>
      <c r="D92" s="53"/>
      <c r="E92" s="53"/>
      <c r="F92" s="54"/>
      <c r="G92" s="55"/>
      <c r="H92" s="53"/>
      <c r="I92" s="53"/>
    </row>
    <row r="93" customFormat="false" ht="16.5" hidden="false" customHeight="true" outlineLevel="0" collapsed="false">
      <c r="A93" s="52" t="n">
        <v>3</v>
      </c>
      <c r="B93" s="53"/>
      <c r="C93" s="53"/>
      <c r="D93" s="53"/>
      <c r="E93" s="53"/>
      <c r="F93" s="54"/>
      <c r="G93" s="55"/>
      <c r="H93" s="53"/>
      <c r="I93" s="53"/>
    </row>
    <row r="94" customFormat="false" ht="16.5" hidden="false" customHeight="true" outlineLevel="0" collapsed="false">
      <c r="A94" s="52" t="n">
        <v>4</v>
      </c>
      <c r="B94" s="53"/>
      <c r="C94" s="53"/>
      <c r="D94" s="53"/>
      <c r="E94" s="53"/>
      <c r="F94" s="54"/>
      <c r="G94" s="55"/>
      <c r="H94" s="53"/>
      <c r="I94" s="53"/>
    </row>
    <row r="95" customFormat="false" ht="16.5" hidden="false" customHeight="true" outlineLevel="0" collapsed="false">
      <c r="A95" s="52" t="n">
        <v>5</v>
      </c>
      <c r="B95" s="53"/>
      <c r="C95" s="53"/>
      <c r="D95" s="53"/>
      <c r="E95" s="53"/>
      <c r="F95" s="54"/>
      <c r="G95" s="55"/>
      <c r="H95" s="53"/>
      <c r="I95" s="53"/>
    </row>
    <row r="96" customFormat="false" ht="16.5" hidden="false" customHeight="true" outlineLevel="0" collapsed="false">
      <c r="A96" s="52" t="n">
        <v>6</v>
      </c>
      <c r="B96" s="53"/>
      <c r="C96" s="53"/>
      <c r="D96" s="53"/>
      <c r="E96" s="53"/>
      <c r="F96" s="54"/>
      <c r="G96" s="55"/>
      <c r="H96" s="53"/>
      <c r="I96" s="53"/>
    </row>
    <row r="97" customFormat="false" ht="16.5" hidden="false" customHeight="true" outlineLevel="0" collapsed="false">
      <c r="A97" s="52" t="n">
        <v>7</v>
      </c>
      <c r="B97" s="53"/>
      <c r="C97" s="53"/>
      <c r="D97" s="53"/>
      <c r="E97" s="53"/>
      <c r="F97" s="54"/>
      <c r="G97" s="55"/>
      <c r="H97" s="53"/>
      <c r="I97" s="53"/>
    </row>
    <row r="98" customFormat="false" ht="16.5" hidden="false" customHeight="true" outlineLevel="0" collapsed="false">
      <c r="A98" s="52" t="n">
        <v>8</v>
      </c>
      <c r="B98" s="53"/>
      <c r="C98" s="53"/>
      <c r="D98" s="53"/>
      <c r="E98" s="53"/>
      <c r="F98" s="54"/>
      <c r="G98" s="55"/>
      <c r="H98" s="53"/>
      <c r="I98" s="53"/>
    </row>
    <row r="99" customFormat="false" ht="16.5" hidden="false" customHeight="true" outlineLevel="0" collapsed="false">
      <c r="A99" s="52" t="n">
        <v>9</v>
      </c>
      <c r="B99" s="53"/>
      <c r="C99" s="53"/>
      <c r="D99" s="53"/>
      <c r="E99" s="53"/>
      <c r="F99" s="54"/>
      <c r="G99" s="55"/>
      <c r="H99" s="53"/>
      <c r="I99" s="53"/>
    </row>
    <row r="100" customFormat="false" ht="16.5" hidden="false" customHeight="true" outlineLevel="0" collapsed="false">
      <c r="A100" s="52" t="n">
        <v>10</v>
      </c>
      <c r="B100" s="53"/>
      <c r="C100" s="53"/>
      <c r="D100" s="53"/>
      <c r="E100" s="53"/>
      <c r="F100" s="54"/>
      <c r="G100" s="55"/>
      <c r="H100" s="53"/>
      <c r="I100" s="53"/>
    </row>
    <row r="101" customFormat="false" ht="16.5" hidden="false" customHeight="true" outlineLevel="0" collapsed="false">
      <c r="A101" s="52" t="n">
        <v>11</v>
      </c>
      <c r="B101" s="53"/>
      <c r="C101" s="53"/>
      <c r="D101" s="53"/>
      <c r="E101" s="53"/>
      <c r="F101" s="54"/>
      <c r="G101" s="55"/>
      <c r="H101" s="53"/>
      <c r="I101" s="53"/>
    </row>
    <row r="102" customFormat="false" ht="16.5" hidden="false" customHeight="true" outlineLevel="0" collapsed="false">
      <c r="A102" s="52" t="n">
        <v>12</v>
      </c>
      <c r="B102" s="53"/>
      <c r="C102" s="53"/>
      <c r="D102" s="53"/>
      <c r="E102" s="53"/>
      <c r="F102" s="54"/>
      <c r="G102" s="55"/>
      <c r="H102" s="53"/>
      <c r="I102" s="53"/>
    </row>
    <row r="103" customFormat="false" ht="16.5" hidden="false" customHeight="true" outlineLevel="0" collapsed="false">
      <c r="A103" s="52" t="n">
        <v>13</v>
      </c>
      <c r="B103" s="53"/>
      <c r="C103" s="53"/>
      <c r="D103" s="53"/>
      <c r="E103" s="53"/>
      <c r="F103" s="54"/>
      <c r="G103" s="55"/>
      <c r="H103" s="53"/>
      <c r="I103" s="53"/>
    </row>
    <row r="104" customFormat="false" ht="16.5" hidden="false" customHeight="true" outlineLevel="0" collapsed="false">
      <c r="A104" s="52" t="n">
        <v>14</v>
      </c>
      <c r="B104" s="53"/>
      <c r="C104" s="53"/>
      <c r="D104" s="53"/>
      <c r="E104" s="53"/>
      <c r="F104" s="54"/>
      <c r="G104" s="55"/>
      <c r="H104" s="53"/>
      <c r="I104" s="53"/>
    </row>
    <row r="105" customFormat="false" ht="16.5" hidden="false" customHeight="true" outlineLevel="0" collapsed="false">
      <c r="A105" s="52" t="n">
        <v>15</v>
      </c>
      <c r="B105" s="53"/>
      <c r="C105" s="53"/>
      <c r="D105" s="53"/>
      <c r="E105" s="53"/>
      <c r="F105" s="54"/>
      <c r="G105" s="55"/>
      <c r="H105" s="53"/>
      <c r="I105" s="53"/>
    </row>
    <row r="106" customFormat="false" ht="16.5" hidden="false" customHeight="true" outlineLevel="0" collapsed="false">
      <c r="A106" s="52" t="n">
        <v>16</v>
      </c>
      <c r="B106" s="53"/>
      <c r="C106" s="53"/>
      <c r="D106" s="53"/>
      <c r="E106" s="53"/>
      <c r="F106" s="54"/>
      <c r="G106" s="55"/>
      <c r="H106" s="53"/>
      <c r="I106" s="53"/>
    </row>
    <row r="107" customFormat="false" ht="16.5" hidden="false" customHeight="true" outlineLevel="0" collapsed="false">
      <c r="A107" s="52" t="n">
        <v>17</v>
      </c>
      <c r="B107" s="53"/>
      <c r="C107" s="53"/>
      <c r="D107" s="53"/>
      <c r="E107" s="53"/>
      <c r="F107" s="54"/>
      <c r="G107" s="55"/>
      <c r="H107" s="53"/>
      <c r="I107" s="53"/>
    </row>
    <row r="108" customFormat="false" ht="16.5" hidden="false" customHeight="true" outlineLevel="0" collapsed="false">
      <c r="A108" s="52" t="n">
        <v>18</v>
      </c>
      <c r="B108" s="53"/>
      <c r="C108" s="53"/>
      <c r="D108" s="53"/>
      <c r="E108" s="53"/>
      <c r="F108" s="54"/>
      <c r="G108" s="55"/>
      <c r="H108" s="53"/>
      <c r="I108" s="53"/>
    </row>
    <row r="109" customFormat="false" ht="16.5" hidden="false" customHeight="true" outlineLevel="0" collapsed="false">
      <c r="A109" s="52" t="n">
        <v>19</v>
      </c>
      <c r="B109" s="53"/>
      <c r="C109" s="53"/>
      <c r="D109" s="53"/>
      <c r="E109" s="53"/>
      <c r="F109" s="54"/>
      <c r="G109" s="55"/>
      <c r="H109" s="53"/>
      <c r="I109" s="53"/>
    </row>
    <row r="110" customFormat="false" ht="16.5" hidden="false" customHeight="true" outlineLevel="0" collapsed="false">
      <c r="A110" s="52" t="n">
        <v>20</v>
      </c>
      <c r="B110" s="53"/>
      <c r="C110" s="53"/>
      <c r="D110" s="53"/>
      <c r="E110" s="53"/>
      <c r="F110" s="54"/>
      <c r="G110" s="55"/>
      <c r="H110" s="53"/>
      <c r="I110" s="53"/>
    </row>
    <row r="111" customFormat="false" ht="16.5" hidden="false" customHeight="true" outlineLevel="0" collapsed="false">
      <c r="A111" s="52" t="n">
        <v>21</v>
      </c>
      <c r="B111" s="53"/>
      <c r="C111" s="53"/>
      <c r="D111" s="53"/>
      <c r="E111" s="53"/>
      <c r="F111" s="54"/>
      <c r="G111" s="55"/>
      <c r="H111" s="53"/>
      <c r="I111" s="53"/>
    </row>
    <row r="112" customFormat="false" ht="16.5" hidden="false" customHeight="true" outlineLevel="0" collapsed="false">
      <c r="A112" s="52" t="n">
        <v>22</v>
      </c>
      <c r="B112" s="53"/>
      <c r="C112" s="53"/>
      <c r="D112" s="53"/>
      <c r="E112" s="53"/>
      <c r="F112" s="54"/>
      <c r="G112" s="55"/>
      <c r="H112" s="53"/>
      <c r="I112" s="53"/>
    </row>
    <row r="113" customFormat="false" ht="16.5" hidden="false" customHeight="true" outlineLevel="0" collapsed="false">
      <c r="A113" s="52" t="n">
        <v>23</v>
      </c>
      <c r="B113" s="53"/>
      <c r="C113" s="53"/>
      <c r="D113" s="53"/>
      <c r="E113" s="53"/>
      <c r="F113" s="54"/>
      <c r="G113" s="55"/>
      <c r="H113" s="53"/>
      <c r="I113" s="53"/>
    </row>
    <row r="114" customFormat="false" ht="16.5" hidden="false" customHeight="true" outlineLevel="0" collapsed="false">
      <c r="A114" s="52" t="n">
        <v>24</v>
      </c>
      <c r="B114" s="53"/>
      <c r="C114" s="53"/>
      <c r="D114" s="53"/>
      <c r="E114" s="53"/>
      <c r="F114" s="54"/>
      <c r="G114" s="55"/>
      <c r="H114" s="53"/>
      <c r="I114" s="53"/>
    </row>
    <row r="115" customFormat="false" ht="16.5" hidden="false" customHeight="true" outlineLevel="0" collapsed="false">
      <c r="A115" s="52" t="n">
        <v>25</v>
      </c>
      <c r="B115" s="53"/>
      <c r="C115" s="53"/>
      <c r="D115" s="53"/>
      <c r="E115" s="53"/>
      <c r="F115" s="54"/>
      <c r="G115" s="55"/>
      <c r="H115" s="53"/>
      <c r="I115" s="53"/>
    </row>
    <row r="116" customFormat="false" ht="16.5" hidden="false" customHeight="true" outlineLevel="0" collapsed="false">
      <c r="A116" s="52" t="n">
        <v>26</v>
      </c>
      <c r="B116" s="53"/>
      <c r="C116" s="53"/>
      <c r="D116" s="53"/>
      <c r="E116" s="53"/>
      <c r="F116" s="54"/>
      <c r="G116" s="55"/>
      <c r="H116" s="53"/>
      <c r="I116" s="53"/>
    </row>
    <row r="117" customFormat="false" ht="16.5" hidden="false" customHeight="true" outlineLevel="0" collapsed="false">
      <c r="A117" s="52" t="n">
        <v>27</v>
      </c>
      <c r="B117" s="53"/>
      <c r="C117" s="53"/>
      <c r="D117" s="53"/>
      <c r="E117" s="53"/>
      <c r="F117" s="54"/>
      <c r="G117" s="55"/>
      <c r="H117" s="53"/>
      <c r="I117" s="53"/>
    </row>
    <row r="118" customFormat="false" ht="16.5" hidden="false" customHeight="true" outlineLevel="0" collapsed="false">
      <c r="A118" s="52" t="n">
        <v>28</v>
      </c>
      <c r="B118" s="53"/>
      <c r="C118" s="53"/>
      <c r="D118" s="53"/>
      <c r="E118" s="53"/>
      <c r="F118" s="54"/>
      <c r="G118" s="55"/>
      <c r="H118" s="53"/>
      <c r="I118" s="53"/>
    </row>
    <row r="119" customFormat="false" ht="16.5" hidden="false" customHeight="true" outlineLevel="0" collapsed="false">
      <c r="A119" s="52" t="n">
        <v>29</v>
      </c>
      <c r="B119" s="53"/>
      <c r="C119" s="53"/>
      <c r="D119" s="53"/>
      <c r="E119" s="53"/>
      <c r="F119" s="54"/>
      <c r="G119" s="55"/>
      <c r="H119" s="53"/>
      <c r="I119" s="53"/>
    </row>
    <row r="120" customFormat="false" ht="16.5" hidden="false" customHeight="true" outlineLevel="0" collapsed="false">
      <c r="A120" s="52" t="n">
        <v>30</v>
      </c>
      <c r="B120" s="53"/>
      <c r="C120" s="53"/>
      <c r="D120" s="53"/>
      <c r="E120" s="53"/>
      <c r="F120" s="54"/>
      <c r="G120" s="55"/>
      <c r="H120" s="53"/>
      <c r="I120" s="53"/>
    </row>
    <row r="121" customFormat="false" ht="16.5" hidden="false" customHeight="true" outlineLevel="0" collapsed="false">
      <c r="A121" s="52" t="n">
        <v>31</v>
      </c>
      <c r="B121" s="53"/>
      <c r="C121" s="53"/>
      <c r="D121" s="53"/>
      <c r="E121" s="53"/>
      <c r="F121" s="54"/>
      <c r="G121" s="55"/>
      <c r="H121" s="53"/>
      <c r="I121" s="53"/>
    </row>
    <row r="122" customFormat="false" ht="16.5" hidden="false" customHeight="true" outlineLevel="0" collapsed="false">
      <c r="A122" s="52" t="n">
        <v>32</v>
      </c>
      <c r="B122" s="53"/>
      <c r="C122" s="53"/>
      <c r="D122" s="53"/>
      <c r="E122" s="53"/>
      <c r="F122" s="54"/>
      <c r="G122" s="55"/>
      <c r="H122" s="53"/>
      <c r="I122" s="53"/>
    </row>
    <row r="123" customFormat="false" ht="16.5" hidden="false" customHeight="true" outlineLevel="0" collapsed="false">
      <c r="A123" s="52" t="n">
        <v>33</v>
      </c>
      <c r="B123" s="53"/>
      <c r="C123" s="53"/>
      <c r="D123" s="53"/>
      <c r="E123" s="53"/>
      <c r="F123" s="54"/>
      <c r="G123" s="55"/>
      <c r="H123" s="53"/>
      <c r="I123" s="53"/>
    </row>
    <row r="124" customFormat="false" ht="16.5" hidden="false" customHeight="true" outlineLevel="0" collapsed="false">
      <c r="A124" s="52" t="n">
        <v>34</v>
      </c>
      <c r="B124" s="53"/>
      <c r="C124" s="53"/>
      <c r="D124" s="53"/>
      <c r="E124" s="53"/>
      <c r="F124" s="54"/>
      <c r="G124" s="55"/>
      <c r="H124" s="53"/>
      <c r="I124" s="53"/>
    </row>
    <row r="125" customFormat="false" ht="16.5" hidden="false" customHeight="true" outlineLevel="0" collapsed="false">
      <c r="A125" s="52" t="n">
        <v>35</v>
      </c>
      <c r="B125" s="53"/>
      <c r="C125" s="53"/>
      <c r="D125" s="53"/>
      <c r="E125" s="53"/>
      <c r="F125" s="54"/>
      <c r="G125" s="55"/>
      <c r="H125" s="53"/>
      <c r="I125" s="53"/>
    </row>
    <row r="126" customFormat="false" ht="15" hidden="false" customHeight="true" outlineLevel="0" collapsed="false">
      <c r="A126" s="56" t="s">
        <v>260</v>
      </c>
      <c r="B126" s="56"/>
      <c r="C126" s="56"/>
      <c r="D126" s="56"/>
      <c r="E126" s="56"/>
      <c r="F126" s="57" t="n">
        <f aca="false">IFERROR(SUM(F91:F125),0)</f>
        <v>0</v>
      </c>
    </row>
    <row r="127" customFormat="false" ht="19.5" hidden="false" customHeight="true" outlineLevel="0" collapsed="false">
      <c r="A127" s="32" t="s">
        <v>261</v>
      </c>
      <c r="B127" s="32"/>
      <c r="C127" s="32"/>
      <c r="D127" s="32"/>
      <c r="E127" s="32"/>
      <c r="F127" s="58"/>
      <c r="G127" s="58"/>
      <c r="H127" s="58"/>
      <c r="I127" s="58"/>
      <c r="J127" s="58"/>
      <c r="K127" s="58"/>
      <c r="L127" s="58"/>
      <c r="M127" s="58"/>
      <c r="N127" s="58"/>
    </row>
    <row r="128" customFormat="false" ht="31.5" hidden="false" customHeight="true" outlineLevel="0" collapsed="false">
      <c r="A128" s="51" t="s">
        <v>106</v>
      </c>
      <c r="B128" s="51" t="s">
        <v>262</v>
      </c>
      <c r="C128" s="51" t="s">
        <v>263</v>
      </c>
      <c r="D128" s="51" t="s">
        <v>264</v>
      </c>
      <c r="E128" s="51" t="s">
        <v>265</v>
      </c>
      <c r="F128" s="51" t="s">
        <v>266</v>
      </c>
      <c r="G128" s="51" t="s">
        <v>267</v>
      </c>
      <c r="H128" s="51" t="s">
        <v>268</v>
      </c>
      <c r="I128" s="51" t="s">
        <v>269</v>
      </c>
      <c r="J128" s="51" t="s">
        <v>270</v>
      </c>
      <c r="K128" s="51" t="s">
        <v>271</v>
      </c>
      <c r="L128" s="51" t="s">
        <v>272</v>
      </c>
      <c r="M128" s="51" t="s">
        <v>61</v>
      </c>
      <c r="N128" s="51" t="s">
        <v>273</v>
      </c>
    </row>
    <row r="129" customFormat="false" ht="16.5" hidden="false" customHeight="true" outlineLevel="0" collapsed="false">
      <c r="A129" s="52" t="n">
        <v>1</v>
      </c>
      <c r="B129" s="53"/>
      <c r="C129" s="53"/>
      <c r="D129" s="53"/>
      <c r="E129" s="59"/>
      <c r="F129" s="59"/>
      <c r="G129" s="60"/>
      <c r="H129" s="57" t="n">
        <f aca="false">IFERROR(E129*G129,"")</f>
        <v>0</v>
      </c>
      <c r="I129" s="53"/>
      <c r="J129" s="55"/>
      <c r="K129" s="55"/>
      <c r="L129" s="55"/>
      <c r="M129" s="53"/>
      <c r="N129" s="53"/>
    </row>
    <row r="130" customFormat="false" ht="16.5" hidden="false" customHeight="true" outlineLevel="0" collapsed="false">
      <c r="A130" s="52" t="n">
        <v>2</v>
      </c>
      <c r="B130" s="53"/>
      <c r="C130" s="53"/>
      <c r="D130" s="53"/>
      <c r="E130" s="59"/>
      <c r="F130" s="59"/>
      <c r="G130" s="60"/>
      <c r="H130" s="57" t="n">
        <f aca="false">IFERROR(E130*G130,"")</f>
        <v>0</v>
      </c>
      <c r="I130" s="53"/>
      <c r="J130" s="55"/>
      <c r="K130" s="55"/>
      <c r="L130" s="55"/>
      <c r="M130" s="53"/>
      <c r="N130" s="53"/>
    </row>
    <row r="131" customFormat="false" ht="16.5" hidden="false" customHeight="true" outlineLevel="0" collapsed="false">
      <c r="A131" s="52" t="n">
        <v>3</v>
      </c>
      <c r="B131" s="53"/>
      <c r="C131" s="53"/>
      <c r="D131" s="53"/>
      <c r="E131" s="59"/>
      <c r="F131" s="59"/>
      <c r="G131" s="60"/>
      <c r="H131" s="57" t="n">
        <f aca="false">IFERROR(E131*G131,"")</f>
        <v>0</v>
      </c>
      <c r="I131" s="53"/>
      <c r="J131" s="55"/>
      <c r="K131" s="55"/>
      <c r="L131" s="55"/>
      <c r="M131" s="53"/>
      <c r="N131" s="53"/>
    </row>
    <row r="132" customFormat="false" ht="16.5" hidden="false" customHeight="true" outlineLevel="0" collapsed="false">
      <c r="A132" s="52" t="n">
        <v>4</v>
      </c>
      <c r="B132" s="53"/>
      <c r="C132" s="53"/>
      <c r="D132" s="53"/>
      <c r="E132" s="59"/>
      <c r="F132" s="59"/>
      <c r="G132" s="60"/>
      <c r="H132" s="57" t="n">
        <f aca="false">IFERROR(E132*G132,"")</f>
        <v>0</v>
      </c>
      <c r="I132" s="53"/>
      <c r="J132" s="55"/>
      <c r="K132" s="55"/>
      <c r="L132" s="55"/>
      <c r="M132" s="53"/>
      <c r="N132" s="53"/>
    </row>
    <row r="133" customFormat="false" ht="16.5" hidden="false" customHeight="true" outlineLevel="0" collapsed="false">
      <c r="A133" s="52" t="n">
        <v>5</v>
      </c>
      <c r="B133" s="53"/>
      <c r="C133" s="53"/>
      <c r="D133" s="53"/>
      <c r="E133" s="59"/>
      <c r="F133" s="59"/>
      <c r="G133" s="60"/>
      <c r="H133" s="57" t="n">
        <f aca="false">IFERROR(E133*G133,"")</f>
        <v>0</v>
      </c>
      <c r="I133" s="53"/>
      <c r="J133" s="55"/>
      <c r="K133" s="55"/>
      <c r="L133" s="55"/>
      <c r="M133" s="53"/>
      <c r="N133" s="53"/>
    </row>
    <row r="134" customFormat="false" ht="16.5" hidden="false" customHeight="true" outlineLevel="0" collapsed="false">
      <c r="A134" s="52" t="n">
        <v>6</v>
      </c>
      <c r="B134" s="53"/>
      <c r="C134" s="53"/>
      <c r="D134" s="53"/>
      <c r="E134" s="59"/>
      <c r="F134" s="59"/>
      <c r="G134" s="60"/>
      <c r="H134" s="57" t="n">
        <f aca="false">IFERROR(E134*G134,"")</f>
        <v>0</v>
      </c>
      <c r="I134" s="53"/>
      <c r="J134" s="55"/>
      <c r="K134" s="55"/>
      <c r="L134" s="55"/>
      <c r="M134" s="53"/>
      <c r="N134" s="53"/>
    </row>
    <row r="135" customFormat="false" ht="16.5" hidden="false" customHeight="true" outlineLevel="0" collapsed="false">
      <c r="A135" s="52" t="n">
        <v>7</v>
      </c>
      <c r="B135" s="53"/>
      <c r="C135" s="53"/>
      <c r="D135" s="53"/>
      <c r="E135" s="59"/>
      <c r="F135" s="59"/>
      <c r="G135" s="60"/>
      <c r="H135" s="57" t="n">
        <f aca="false">IFERROR(E135*G135,"")</f>
        <v>0</v>
      </c>
      <c r="I135" s="53"/>
      <c r="J135" s="55"/>
      <c r="K135" s="55"/>
      <c r="L135" s="55"/>
      <c r="M135" s="53"/>
      <c r="N135" s="53"/>
    </row>
    <row r="136" customFormat="false" ht="16.5" hidden="false" customHeight="true" outlineLevel="0" collapsed="false">
      <c r="A136" s="52" t="n">
        <v>8</v>
      </c>
      <c r="B136" s="53"/>
      <c r="C136" s="53"/>
      <c r="D136" s="53"/>
      <c r="E136" s="59"/>
      <c r="F136" s="59"/>
      <c r="G136" s="60"/>
      <c r="H136" s="57" t="n">
        <f aca="false">IFERROR(E136*G136,"")</f>
        <v>0</v>
      </c>
      <c r="I136" s="53"/>
      <c r="J136" s="55"/>
      <c r="K136" s="55"/>
      <c r="L136" s="55"/>
      <c r="M136" s="53"/>
      <c r="N136" s="53"/>
    </row>
    <row r="137" customFormat="false" ht="16.5" hidden="false" customHeight="true" outlineLevel="0" collapsed="false">
      <c r="A137" s="52" t="n">
        <v>9</v>
      </c>
      <c r="B137" s="53"/>
      <c r="C137" s="53"/>
      <c r="D137" s="53"/>
      <c r="E137" s="59"/>
      <c r="F137" s="59"/>
      <c r="G137" s="60"/>
      <c r="H137" s="57" t="n">
        <f aca="false">IFERROR(E137*G137,"")</f>
        <v>0</v>
      </c>
      <c r="I137" s="53"/>
      <c r="J137" s="55"/>
      <c r="K137" s="55"/>
      <c r="L137" s="55"/>
      <c r="M137" s="53"/>
      <c r="N137" s="53"/>
    </row>
    <row r="138" customFormat="false" ht="16.5" hidden="false" customHeight="true" outlineLevel="0" collapsed="false">
      <c r="A138" s="52" t="n">
        <v>10</v>
      </c>
      <c r="B138" s="53"/>
      <c r="C138" s="53"/>
      <c r="D138" s="53"/>
      <c r="E138" s="59"/>
      <c r="F138" s="59"/>
      <c r="G138" s="60"/>
      <c r="H138" s="57" t="n">
        <f aca="false">IFERROR(E138*G138,"")</f>
        <v>0</v>
      </c>
      <c r="I138" s="53"/>
      <c r="J138" s="55"/>
      <c r="K138" s="55"/>
      <c r="L138" s="55"/>
      <c r="M138" s="53"/>
      <c r="N138" s="53"/>
    </row>
    <row r="139" customFormat="false" ht="16.5" hidden="false" customHeight="true" outlineLevel="0" collapsed="false">
      <c r="A139" s="52" t="n">
        <v>11</v>
      </c>
      <c r="B139" s="53"/>
      <c r="C139" s="53"/>
      <c r="D139" s="53"/>
      <c r="E139" s="59"/>
      <c r="F139" s="59"/>
      <c r="G139" s="60"/>
      <c r="H139" s="57" t="n">
        <f aca="false">IFERROR(E139*G139,"")</f>
        <v>0</v>
      </c>
      <c r="I139" s="53"/>
      <c r="J139" s="55"/>
      <c r="K139" s="55"/>
      <c r="L139" s="55"/>
      <c r="M139" s="53"/>
      <c r="N139" s="53"/>
    </row>
    <row r="140" customFormat="false" ht="16.5" hidden="false" customHeight="true" outlineLevel="0" collapsed="false">
      <c r="A140" s="52" t="n">
        <v>12</v>
      </c>
      <c r="B140" s="53"/>
      <c r="C140" s="53"/>
      <c r="D140" s="53"/>
      <c r="E140" s="59"/>
      <c r="F140" s="59"/>
      <c r="G140" s="60"/>
      <c r="H140" s="57" t="n">
        <f aca="false">IFERROR(E140*G140,"")</f>
        <v>0</v>
      </c>
      <c r="I140" s="53"/>
      <c r="J140" s="55"/>
      <c r="K140" s="55"/>
      <c r="L140" s="55"/>
      <c r="M140" s="53"/>
      <c r="N140" s="53"/>
    </row>
    <row r="141" customFormat="false" ht="16.5" hidden="false" customHeight="true" outlineLevel="0" collapsed="false">
      <c r="A141" s="52" t="n">
        <v>13</v>
      </c>
      <c r="B141" s="53"/>
      <c r="C141" s="53"/>
      <c r="D141" s="53"/>
      <c r="E141" s="59"/>
      <c r="F141" s="59"/>
      <c r="G141" s="60"/>
      <c r="H141" s="57" t="n">
        <f aca="false">IFERROR(E141*G141,"")</f>
        <v>0</v>
      </c>
      <c r="I141" s="53"/>
      <c r="J141" s="55"/>
      <c r="K141" s="55"/>
      <c r="L141" s="55"/>
      <c r="M141" s="53"/>
      <c r="N141" s="53"/>
    </row>
    <row r="142" customFormat="false" ht="16.5" hidden="false" customHeight="true" outlineLevel="0" collapsed="false">
      <c r="A142" s="52" t="n">
        <v>14</v>
      </c>
      <c r="B142" s="53"/>
      <c r="C142" s="53"/>
      <c r="D142" s="53"/>
      <c r="E142" s="59"/>
      <c r="F142" s="59"/>
      <c r="G142" s="60"/>
      <c r="H142" s="57" t="n">
        <f aca="false">IFERROR(E142*G142,"")</f>
        <v>0</v>
      </c>
      <c r="I142" s="53"/>
      <c r="J142" s="55"/>
      <c r="K142" s="55"/>
      <c r="L142" s="55"/>
      <c r="M142" s="53"/>
      <c r="N142" s="53"/>
    </row>
    <row r="143" customFormat="false" ht="16.5" hidden="false" customHeight="true" outlineLevel="0" collapsed="false">
      <c r="A143" s="52" t="n">
        <v>15</v>
      </c>
      <c r="B143" s="53"/>
      <c r="C143" s="53"/>
      <c r="D143" s="53"/>
      <c r="E143" s="59"/>
      <c r="F143" s="59"/>
      <c r="G143" s="60"/>
      <c r="H143" s="57" t="n">
        <f aca="false">IFERROR(E143*G143,"")</f>
        <v>0</v>
      </c>
      <c r="I143" s="53"/>
      <c r="J143" s="55"/>
      <c r="K143" s="55"/>
      <c r="L143" s="55"/>
      <c r="M143" s="53"/>
      <c r="N143" s="53"/>
    </row>
    <row r="144" customFormat="false" ht="16.5" hidden="false" customHeight="true" outlineLevel="0" collapsed="false">
      <c r="A144" s="52" t="n">
        <v>16</v>
      </c>
      <c r="B144" s="53"/>
      <c r="C144" s="53"/>
      <c r="D144" s="53"/>
      <c r="E144" s="59"/>
      <c r="F144" s="59"/>
      <c r="G144" s="60"/>
      <c r="H144" s="57" t="n">
        <f aca="false">IFERROR(E144*G144,"")</f>
        <v>0</v>
      </c>
      <c r="I144" s="53"/>
      <c r="J144" s="55"/>
      <c r="K144" s="55"/>
      <c r="L144" s="55"/>
      <c r="M144" s="53"/>
      <c r="N144" s="53"/>
    </row>
    <row r="145" customFormat="false" ht="16.5" hidden="false" customHeight="true" outlineLevel="0" collapsed="false">
      <c r="A145" s="52" t="n">
        <v>17</v>
      </c>
      <c r="B145" s="53"/>
      <c r="C145" s="53"/>
      <c r="D145" s="53"/>
      <c r="E145" s="59"/>
      <c r="F145" s="59"/>
      <c r="G145" s="60"/>
      <c r="H145" s="57" t="n">
        <f aca="false">IFERROR(E145*G145,"")</f>
        <v>0</v>
      </c>
      <c r="I145" s="53"/>
      <c r="J145" s="55"/>
      <c r="K145" s="55"/>
      <c r="L145" s="55"/>
      <c r="M145" s="53"/>
      <c r="N145" s="53"/>
    </row>
    <row r="146" customFormat="false" ht="16.5" hidden="false" customHeight="true" outlineLevel="0" collapsed="false">
      <c r="A146" s="52" t="n">
        <v>18</v>
      </c>
      <c r="B146" s="53"/>
      <c r="C146" s="53"/>
      <c r="D146" s="53"/>
      <c r="E146" s="59"/>
      <c r="F146" s="59"/>
      <c r="G146" s="60"/>
      <c r="H146" s="57" t="n">
        <f aca="false">IFERROR(E146*G146,"")</f>
        <v>0</v>
      </c>
      <c r="I146" s="53"/>
      <c r="J146" s="55"/>
      <c r="K146" s="55"/>
      <c r="L146" s="55"/>
      <c r="M146" s="53"/>
      <c r="N146" s="53"/>
    </row>
    <row r="147" customFormat="false" ht="16.5" hidden="false" customHeight="true" outlineLevel="0" collapsed="false">
      <c r="A147" s="52" t="n">
        <v>19</v>
      </c>
      <c r="B147" s="53"/>
      <c r="C147" s="53"/>
      <c r="D147" s="53"/>
      <c r="E147" s="59"/>
      <c r="F147" s="59"/>
      <c r="G147" s="60"/>
      <c r="H147" s="57" t="n">
        <f aca="false">IFERROR(E147*G147,"")</f>
        <v>0</v>
      </c>
      <c r="I147" s="53"/>
      <c r="J147" s="55"/>
      <c r="K147" s="55"/>
      <c r="L147" s="55"/>
      <c r="M147" s="53"/>
      <c r="N147" s="53"/>
    </row>
    <row r="148" customFormat="false" ht="16.5" hidden="false" customHeight="true" outlineLevel="0" collapsed="false">
      <c r="A148" s="52" t="n">
        <v>20</v>
      </c>
      <c r="B148" s="53"/>
      <c r="C148" s="53"/>
      <c r="D148" s="53"/>
      <c r="E148" s="59"/>
      <c r="F148" s="59"/>
      <c r="G148" s="60"/>
      <c r="H148" s="57" t="n">
        <f aca="false">IFERROR(E148*G148,"")</f>
        <v>0</v>
      </c>
      <c r="I148" s="53"/>
      <c r="J148" s="55"/>
      <c r="K148" s="55"/>
      <c r="L148" s="55"/>
      <c r="M148" s="53"/>
      <c r="N148" s="53"/>
    </row>
    <row r="149" customFormat="false" ht="16.5" hidden="false" customHeight="true" outlineLevel="0" collapsed="false">
      <c r="A149" s="52" t="n">
        <v>21</v>
      </c>
      <c r="B149" s="53"/>
      <c r="C149" s="53"/>
      <c r="D149" s="53"/>
      <c r="E149" s="59"/>
      <c r="F149" s="59"/>
      <c r="G149" s="60"/>
      <c r="H149" s="57" t="n">
        <f aca="false">IFERROR(E149*G149,"")</f>
        <v>0</v>
      </c>
      <c r="I149" s="53"/>
      <c r="J149" s="55"/>
      <c r="K149" s="55"/>
      <c r="L149" s="55"/>
      <c r="M149" s="53"/>
      <c r="N149" s="53"/>
    </row>
    <row r="150" customFormat="false" ht="16.5" hidden="false" customHeight="true" outlineLevel="0" collapsed="false">
      <c r="A150" s="52" t="n">
        <v>22</v>
      </c>
      <c r="B150" s="53"/>
      <c r="C150" s="53"/>
      <c r="D150" s="53"/>
      <c r="E150" s="59"/>
      <c r="F150" s="59"/>
      <c r="G150" s="60"/>
      <c r="H150" s="57" t="n">
        <f aca="false">IFERROR(E150*G150,"")</f>
        <v>0</v>
      </c>
      <c r="I150" s="53"/>
      <c r="J150" s="55"/>
      <c r="K150" s="55"/>
      <c r="L150" s="55"/>
      <c r="M150" s="53"/>
      <c r="N150" s="53"/>
    </row>
    <row r="151" customFormat="false" ht="16.5" hidden="false" customHeight="true" outlineLevel="0" collapsed="false">
      <c r="A151" s="52" t="n">
        <v>23</v>
      </c>
      <c r="B151" s="53"/>
      <c r="C151" s="53"/>
      <c r="D151" s="53"/>
      <c r="E151" s="59"/>
      <c r="F151" s="59"/>
      <c r="G151" s="60"/>
      <c r="H151" s="57" t="n">
        <f aca="false">IFERROR(E151*G151,"")</f>
        <v>0</v>
      </c>
      <c r="I151" s="53"/>
      <c r="J151" s="55"/>
      <c r="K151" s="55"/>
      <c r="L151" s="55"/>
      <c r="M151" s="53"/>
      <c r="N151" s="53"/>
    </row>
    <row r="152" customFormat="false" ht="16.5" hidden="false" customHeight="true" outlineLevel="0" collapsed="false">
      <c r="A152" s="52" t="n">
        <v>24</v>
      </c>
      <c r="B152" s="53"/>
      <c r="C152" s="53"/>
      <c r="D152" s="53"/>
      <c r="E152" s="59"/>
      <c r="F152" s="59"/>
      <c r="G152" s="60"/>
      <c r="H152" s="57" t="n">
        <f aca="false">IFERROR(E152*G152,"")</f>
        <v>0</v>
      </c>
      <c r="I152" s="53"/>
      <c r="J152" s="55"/>
      <c r="K152" s="55"/>
      <c r="L152" s="55"/>
      <c r="M152" s="53"/>
      <c r="N152" s="53"/>
    </row>
    <row r="153" customFormat="false" ht="16.5" hidden="false" customHeight="true" outlineLevel="0" collapsed="false">
      <c r="A153" s="52" t="n">
        <v>25</v>
      </c>
      <c r="B153" s="53"/>
      <c r="C153" s="53"/>
      <c r="D153" s="53"/>
      <c r="E153" s="59"/>
      <c r="F153" s="59"/>
      <c r="G153" s="60"/>
      <c r="H153" s="57" t="n">
        <f aca="false">IFERROR(E153*G153,"")</f>
        <v>0</v>
      </c>
      <c r="I153" s="53"/>
      <c r="J153" s="55"/>
      <c r="K153" s="55"/>
      <c r="L153" s="55"/>
      <c r="M153" s="53"/>
      <c r="N153" s="53"/>
    </row>
    <row r="154" customFormat="false" ht="16.5" hidden="false" customHeight="true" outlineLevel="0" collapsed="false">
      <c r="A154" s="52" t="n">
        <v>26</v>
      </c>
      <c r="B154" s="53"/>
      <c r="C154" s="53"/>
      <c r="D154" s="53"/>
      <c r="E154" s="59"/>
      <c r="F154" s="59"/>
      <c r="G154" s="60"/>
      <c r="H154" s="57" t="n">
        <f aca="false">IFERROR(E154*G154,"")</f>
        <v>0</v>
      </c>
      <c r="I154" s="53"/>
      <c r="J154" s="55"/>
      <c r="K154" s="55"/>
      <c r="L154" s="55"/>
      <c r="M154" s="53"/>
      <c r="N154" s="53"/>
    </row>
    <row r="155" customFormat="false" ht="16.5" hidden="false" customHeight="true" outlineLevel="0" collapsed="false">
      <c r="A155" s="52" t="n">
        <v>27</v>
      </c>
      <c r="B155" s="53"/>
      <c r="C155" s="53"/>
      <c r="D155" s="53"/>
      <c r="E155" s="59"/>
      <c r="F155" s="59"/>
      <c r="G155" s="60"/>
      <c r="H155" s="57" t="n">
        <f aca="false">IFERROR(E155*G155,"")</f>
        <v>0</v>
      </c>
      <c r="I155" s="53"/>
      <c r="J155" s="55"/>
      <c r="K155" s="55"/>
      <c r="L155" s="55"/>
      <c r="M155" s="53"/>
      <c r="N155" s="53"/>
    </row>
    <row r="156" customFormat="false" ht="16.5" hidden="false" customHeight="true" outlineLevel="0" collapsed="false">
      <c r="A156" s="52" t="n">
        <v>28</v>
      </c>
      <c r="B156" s="53"/>
      <c r="C156" s="53"/>
      <c r="D156" s="53"/>
      <c r="E156" s="59"/>
      <c r="F156" s="59"/>
      <c r="G156" s="60"/>
      <c r="H156" s="57" t="n">
        <f aca="false">IFERROR(E156*G156,"")</f>
        <v>0</v>
      </c>
      <c r="I156" s="53"/>
      <c r="J156" s="55"/>
      <c r="K156" s="55"/>
      <c r="L156" s="55"/>
      <c r="M156" s="53"/>
      <c r="N156" s="53"/>
    </row>
    <row r="157" customFormat="false" ht="16.5" hidden="false" customHeight="true" outlineLevel="0" collapsed="false">
      <c r="A157" s="52" t="n">
        <v>29</v>
      </c>
      <c r="B157" s="53"/>
      <c r="C157" s="53"/>
      <c r="D157" s="53"/>
      <c r="E157" s="59"/>
      <c r="F157" s="59"/>
      <c r="G157" s="60"/>
      <c r="H157" s="57" t="n">
        <f aca="false">IFERROR(E157*G157,"")</f>
        <v>0</v>
      </c>
      <c r="I157" s="53"/>
      <c r="J157" s="55"/>
      <c r="K157" s="55"/>
      <c r="L157" s="55"/>
      <c r="M157" s="53"/>
      <c r="N157" s="53"/>
    </row>
    <row r="158" customFormat="false" ht="16.5" hidden="false" customHeight="true" outlineLevel="0" collapsed="false">
      <c r="A158" s="52" t="n">
        <v>30</v>
      </c>
      <c r="B158" s="53"/>
      <c r="C158" s="53"/>
      <c r="D158" s="53"/>
      <c r="E158" s="59"/>
      <c r="F158" s="59"/>
      <c r="G158" s="60"/>
      <c r="H158" s="57" t="n">
        <f aca="false">IFERROR(E158*G158,"")</f>
        <v>0</v>
      </c>
      <c r="I158" s="53"/>
      <c r="J158" s="55"/>
      <c r="K158" s="55"/>
      <c r="L158" s="55"/>
      <c r="M158" s="53"/>
      <c r="N158" s="53"/>
    </row>
    <row r="159" customFormat="false" ht="16.5" hidden="false" customHeight="true" outlineLevel="0" collapsed="false">
      <c r="A159" s="52" t="n">
        <v>31</v>
      </c>
      <c r="B159" s="53"/>
      <c r="C159" s="53"/>
      <c r="D159" s="53"/>
      <c r="E159" s="59"/>
      <c r="F159" s="59"/>
      <c r="G159" s="60"/>
      <c r="H159" s="57" t="n">
        <f aca="false">IFERROR(E159*G159,"")</f>
        <v>0</v>
      </c>
      <c r="I159" s="53"/>
      <c r="J159" s="55"/>
      <c r="K159" s="55"/>
      <c r="L159" s="55"/>
      <c r="M159" s="53"/>
      <c r="N159" s="53"/>
    </row>
    <row r="160" customFormat="false" ht="16.5" hidden="false" customHeight="true" outlineLevel="0" collapsed="false">
      <c r="A160" s="52" t="n">
        <v>32</v>
      </c>
      <c r="B160" s="53"/>
      <c r="C160" s="53"/>
      <c r="D160" s="53"/>
      <c r="E160" s="59"/>
      <c r="F160" s="59"/>
      <c r="G160" s="60"/>
      <c r="H160" s="57" t="n">
        <f aca="false">IFERROR(E160*G160,"")</f>
        <v>0</v>
      </c>
      <c r="I160" s="53"/>
      <c r="J160" s="55"/>
      <c r="K160" s="55"/>
      <c r="L160" s="55"/>
      <c r="M160" s="53"/>
      <c r="N160" s="53"/>
    </row>
    <row r="161" customFormat="false" ht="16.5" hidden="false" customHeight="true" outlineLevel="0" collapsed="false">
      <c r="A161" s="52" t="n">
        <v>33</v>
      </c>
      <c r="B161" s="53"/>
      <c r="C161" s="53"/>
      <c r="D161" s="53"/>
      <c r="E161" s="59"/>
      <c r="F161" s="59"/>
      <c r="G161" s="60"/>
      <c r="H161" s="57" t="n">
        <f aca="false">IFERROR(E161*G161,"")</f>
        <v>0</v>
      </c>
      <c r="I161" s="53"/>
      <c r="J161" s="55"/>
      <c r="K161" s="55"/>
      <c r="L161" s="55"/>
      <c r="M161" s="53"/>
      <c r="N161" s="53"/>
    </row>
    <row r="162" customFormat="false" ht="16.5" hidden="false" customHeight="true" outlineLevel="0" collapsed="false">
      <c r="A162" s="52" t="n">
        <v>34</v>
      </c>
      <c r="B162" s="53"/>
      <c r="C162" s="53"/>
      <c r="D162" s="53"/>
      <c r="E162" s="59"/>
      <c r="F162" s="59"/>
      <c r="G162" s="60"/>
      <c r="H162" s="57" t="n">
        <f aca="false">IFERROR(E162*G162,"")</f>
        <v>0</v>
      </c>
      <c r="I162" s="53"/>
      <c r="J162" s="55"/>
      <c r="K162" s="55"/>
      <c r="L162" s="55"/>
      <c r="M162" s="53"/>
      <c r="N162" s="53"/>
    </row>
    <row r="163" customFormat="false" ht="16.5" hidden="false" customHeight="true" outlineLevel="0" collapsed="false">
      <c r="A163" s="52" t="n">
        <v>35</v>
      </c>
      <c r="B163" s="53"/>
      <c r="C163" s="53"/>
      <c r="D163" s="53"/>
      <c r="E163" s="59"/>
      <c r="F163" s="59"/>
      <c r="G163" s="60"/>
      <c r="H163" s="57" t="n">
        <f aca="false">IFERROR(E163*G163,"")</f>
        <v>0</v>
      </c>
      <c r="I163" s="53"/>
      <c r="J163" s="55"/>
      <c r="K163" s="55"/>
      <c r="L163" s="55"/>
      <c r="M163" s="53"/>
      <c r="N163" s="53"/>
    </row>
    <row r="164" customFormat="false" ht="16.5" hidden="false" customHeight="true" outlineLevel="0" collapsed="false">
      <c r="A164" s="52" t="n">
        <v>36</v>
      </c>
      <c r="B164" s="53"/>
      <c r="C164" s="53"/>
      <c r="D164" s="53"/>
      <c r="E164" s="59"/>
      <c r="F164" s="59"/>
      <c r="G164" s="60"/>
      <c r="H164" s="57" t="n">
        <f aca="false">IFERROR(E164*G164,"")</f>
        <v>0</v>
      </c>
      <c r="I164" s="53"/>
      <c r="J164" s="55"/>
      <c r="K164" s="55"/>
      <c r="L164" s="55"/>
      <c r="M164" s="53"/>
      <c r="N164" s="53"/>
    </row>
    <row r="165" customFormat="false" ht="16.5" hidden="false" customHeight="true" outlineLevel="0" collapsed="false">
      <c r="A165" s="52" t="n">
        <v>37</v>
      </c>
      <c r="B165" s="53"/>
      <c r="C165" s="53"/>
      <c r="D165" s="53"/>
      <c r="E165" s="59"/>
      <c r="F165" s="59"/>
      <c r="G165" s="60"/>
      <c r="H165" s="57" t="n">
        <f aca="false">IFERROR(E165*G165,"")</f>
        <v>0</v>
      </c>
      <c r="I165" s="53"/>
      <c r="J165" s="55"/>
      <c r="K165" s="55"/>
      <c r="L165" s="55"/>
      <c r="M165" s="53"/>
      <c r="N165" s="53"/>
    </row>
    <row r="166" customFormat="false" ht="16.5" hidden="false" customHeight="true" outlineLevel="0" collapsed="false">
      <c r="A166" s="52" t="n">
        <v>38</v>
      </c>
      <c r="B166" s="53"/>
      <c r="C166" s="53"/>
      <c r="D166" s="53"/>
      <c r="E166" s="59"/>
      <c r="F166" s="59"/>
      <c r="G166" s="60"/>
      <c r="H166" s="57" t="n">
        <f aca="false">IFERROR(E166*G166,"")</f>
        <v>0</v>
      </c>
      <c r="I166" s="53"/>
      <c r="J166" s="55"/>
      <c r="K166" s="55"/>
      <c r="L166" s="55"/>
      <c r="M166" s="53"/>
      <c r="N166" s="53"/>
    </row>
    <row r="167" customFormat="false" ht="16.5" hidden="false" customHeight="true" outlineLevel="0" collapsed="false">
      <c r="A167" s="52" t="n">
        <v>39</v>
      </c>
      <c r="B167" s="53"/>
      <c r="C167" s="53"/>
      <c r="D167" s="53"/>
      <c r="E167" s="59"/>
      <c r="F167" s="59"/>
      <c r="G167" s="60"/>
      <c r="H167" s="57" t="n">
        <f aca="false">IFERROR(E167*G167,"")</f>
        <v>0</v>
      </c>
      <c r="I167" s="53"/>
      <c r="J167" s="55"/>
      <c r="K167" s="55"/>
      <c r="L167" s="55"/>
      <c r="M167" s="53"/>
      <c r="N167" s="53"/>
    </row>
    <row r="168" customFormat="false" ht="16.5" hidden="false" customHeight="true" outlineLevel="0" collapsed="false">
      <c r="A168" s="52" t="n">
        <v>40</v>
      </c>
      <c r="B168" s="53"/>
      <c r="C168" s="53"/>
      <c r="D168" s="53"/>
      <c r="E168" s="59"/>
      <c r="F168" s="59"/>
      <c r="G168" s="60"/>
      <c r="H168" s="57" t="n">
        <f aca="false">IFERROR(E168*G168,"")</f>
        <v>0</v>
      </c>
      <c r="I168" s="53"/>
      <c r="J168" s="55"/>
      <c r="K168" s="55"/>
      <c r="L168" s="55"/>
      <c r="M168" s="53"/>
      <c r="N168" s="53"/>
    </row>
    <row r="169" customFormat="false" ht="16.5" hidden="false" customHeight="true" outlineLevel="0" collapsed="false">
      <c r="A169" s="52" t="n">
        <v>41</v>
      </c>
      <c r="B169" s="53"/>
      <c r="C169" s="53"/>
      <c r="D169" s="53"/>
      <c r="E169" s="59"/>
      <c r="F169" s="59"/>
      <c r="G169" s="60"/>
      <c r="H169" s="57" t="n">
        <f aca="false">IFERROR(E169*G169,"")</f>
        <v>0</v>
      </c>
      <c r="I169" s="53"/>
      <c r="J169" s="55"/>
      <c r="K169" s="55"/>
      <c r="L169" s="55"/>
      <c r="M169" s="53"/>
      <c r="N169" s="53"/>
    </row>
    <row r="170" customFormat="false" ht="16.5" hidden="false" customHeight="true" outlineLevel="0" collapsed="false">
      <c r="A170" s="52" t="n">
        <v>42</v>
      </c>
      <c r="B170" s="53"/>
      <c r="C170" s="53"/>
      <c r="D170" s="53"/>
      <c r="E170" s="59"/>
      <c r="F170" s="59"/>
      <c r="G170" s="60"/>
      <c r="H170" s="57" t="n">
        <f aca="false">IFERROR(E170*G170,"")</f>
        <v>0</v>
      </c>
      <c r="I170" s="53"/>
      <c r="J170" s="55"/>
      <c r="K170" s="55"/>
      <c r="L170" s="55"/>
      <c r="M170" s="53"/>
      <c r="N170" s="53"/>
    </row>
    <row r="171" customFormat="false" ht="16.5" hidden="false" customHeight="true" outlineLevel="0" collapsed="false">
      <c r="A171" s="52" t="n">
        <v>43</v>
      </c>
      <c r="B171" s="53"/>
      <c r="C171" s="53"/>
      <c r="D171" s="53"/>
      <c r="E171" s="59"/>
      <c r="F171" s="59"/>
      <c r="G171" s="60"/>
      <c r="H171" s="57" t="n">
        <f aca="false">IFERROR(E171*G171,"")</f>
        <v>0</v>
      </c>
      <c r="I171" s="53"/>
      <c r="J171" s="55"/>
      <c r="K171" s="55"/>
      <c r="L171" s="55"/>
      <c r="M171" s="53"/>
      <c r="N171" s="53"/>
    </row>
    <row r="172" customFormat="false" ht="16.5" hidden="false" customHeight="true" outlineLevel="0" collapsed="false">
      <c r="A172" s="52" t="n">
        <v>44</v>
      </c>
      <c r="B172" s="53"/>
      <c r="C172" s="53"/>
      <c r="D172" s="53"/>
      <c r="E172" s="59"/>
      <c r="F172" s="59"/>
      <c r="G172" s="60"/>
      <c r="H172" s="57" t="n">
        <f aca="false">IFERROR(E172*G172,"")</f>
        <v>0</v>
      </c>
      <c r="I172" s="53"/>
      <c r="J172" s="55"/>
      <c r="K172" s="55"/>
      <c r="L172" s="55"/>
      <c r="M172" s="53"/>
      <c r="N172" s="53"/>
    </row>
    <row r="173" customFormat="false" ht="16.5" hidden="false" customHeight="true" outlineLevel="0" collapsed="false">
      <c r="A173" s="52" t="n">
        <v>45</v>
      </c>
      <c r="B173" s="53"/>
      <c r="C173" s="53"/>
      <c r="D173" s="53"/>
      <c r="E173" s="59"/>
      <c r="F173" s="59"/>
      <c r="G173" s="60"/>
      <c r="H173" s="57" t="n">
        <f aca="false">IFERROR(E173*G173,"")</f>
        <v>0</v>
      </c>
      <c r="I173" s="53"/>
      <c r="J173" s="55"/>
      <c r="K173" s="55"/>
      <c r="L173" s="55"/>
      <c r="M173" s="53"/>
      <c r="N173" s="53"/>
    </row>
    <row r="174" customFormat="false" ht="16.5" hidden="false" customHeight="true" outlineLevel="0" collapsed="false">
      <c r="A174" s="52" t="n">
        <v>46</v>
      </c>
      <c r="B174" s="53"/>
      <c r="C174" s="53"/>
      <c r="D174" s="53"/>
      <c r="E174" s="59"/>
      <c r="F174" s="59"/>
      <c r="G174" s="60"/>
      <c r="H174" s="57" t="n">
        <f aca="false">IFERROR(E174*G174,"")</f>
        <v>0</v>
      </c>
      <c r="I174" s="53"/>
      <c r="J174" s="55"/>
      <c r="K174" s="55"/>
      <c r="L174" s="55"/>
      <c r="M174" s="53"/>
      <c r="N174" s="53"/>
    </row>
    <row r="175" customFormat="false" ht="16.5" hidden="false" customHeight="true" outlineLevel="0" collapsed="false">
      <c r="A175" s="52" t="n">
        <v>47</v>
      </c>
      <c r="B175" s="53"/>
      <c r="C175" s="53"/>
      <c r="D175" s="53"/>
      <c r="E175" s="59"/>
      <c r="F175" s="59"/>
      <c r="G175" s="60"/>
      <c r="H175" s="57" t="n">
        <f aca="false">IFERROR(E175*G175,"")</f>
        <v>0</v>
      </c>
      <c r="I175" s="53"/>
      <c r="J175" s="55"/>
      <c r="K175" s="55"/>
      <c r="L175" s="55"/>
      <c r="M175" s="53"/>
      <c r="N175" s="53"/>
    </row>
    <row r="176" customFormat="false" ht="16.5" hidden="false" customHeight="true" outlineLevel="0" collapsed="false">
      <c r="A176" s="52" t="n">
        <v>48</v>
      </c>
      <c r="B176" s="53"/>
      <c r="C176" s="53"/>
      <c r="D176" s="53"/>
      <c r="E176" s="59"/>
      <c r="F176" s="59"/>
      <c r="G176" s="60"/>
      <c r="H176" s="57" t="n">
        <f aca="false">IFERROR(E176*G176,"")</f>
        <v>0</v>
      </c>
      <c r="I176" s="53"/>
      <c r="J176" s="55"/>
      <c r="K176" s="55"/>
      <c r="L176" s="55"/>
      <c r="M176" s="53"/>
      <c r="N176" s="53"/>
    </row>
    <row r="177" customFormat="false" ht="16.5" hidden="false" customHeight="true" outlineLevel="0" collapsed="false">
      <c r="A177" s="52" t="n">
        <v>49</v>
      </c>
      <c r="B177" s="53"/>
      <c r="C177" s="53"/>
      <c r="D177" s="53"/>
      <c r="E177" s="59"/>
      <c r="F177" s="59"/>
      <c r="G177" s="60"/>
      <c r="H177" s="57" t="n">
        <f aca="false">IFERROR(E177*G177,"")</f>
        <v>0</v>
      </c>
      <c r="I177" s="53"/>
      <c r="J177" s="55"/>
      <c r="K177" s="55"/>
      <c r="L177" s="55"/>
      <c r="M177" s="53"/>
      <c r="N177" s="53"/>
    </row>
    <row r="178" customFormat="false" ht="16.5" hidden="false" customHeight="true" outlineLevel="0" collapsed="false">
      <c r="A178" s="52" t="n">
        <v>50</v>
      </c>
      <c r="B178" s="53"/>
      <c r="C178" s="53"/>
      <c r="D178" s="53"/>
      <c r="E178" s="59"/>
      <c r="F178" s="59"/>
      <c r="G178" s="60"/>
      <c r="H178" s="57" t="n">
        <f aca="false">IFERROR(E178*G178,"")</f>
        <v>0</v>
      </c>
      <c r="I178" s="53"/>
      <c r="J178" s="55"/>
      <c r="K178" s="55"/>
      <c r="L178" s="55"/>
      <c r="M178" s="53"/>
      <c r="N178" s="53"/>
    </row>
    <row r="179" customFormat="false" ht="15" hidden="false" customHeight="true" outlineLevel="0" collapsed="false">
      <c r="A179" s="56" t="s">
        <v>260</v>
      </c>
      <c r="B179" s="56"/>
      <c r="C179" s="56"/>
      <c r="D179" s="56"/>
      <c r="E179" s="61" t="n">
        <f aca="false">IFERROR(SUM(E129:E178),0)</f>
        <v>0</v>
      </c>
      <c r="F179" s="61" t="n">
        <f aca="false">IFERROR(SUM(F129:F178),0)</f>
        <v>0</v>
      </c>
      <c r="G179" s="62" t="s">
        <v>298</v>
      </c>
      <c r="H179" s="57" t="n">
        <f aca="false">IFERROR(SUM(H129:H178),0)</f>
        <v>0</v>
      </c>
    </row>
    <row r="180" customFormat="false" ht="19.5" hidden="false" customHeight="true" outlineLevel="0" collapsed="false">
      <c r="A180" s="27" t="s">
        <v>299</v>
      </c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</row>
  </sheetData>
  <mergeCells count="16">
    <mergeCell ref="A1:D1"/>
    <mergeCell ref="A2:D2"/>
    <mergeCell ref="A5:D5"/>
    <mergeCell ref="A24:D24"/>
    <mergeCell ref="A34:D34"/>
    <mergeCell ref="A43:D43"/>
    <mergeCell ref="A54:D54"/>
    <mergeCell ref="A68:D68"/>
    <mergeCell ref="A74:D74"/>
    <mergeCell ref="A85:D85"/>
    <mergeCell ref="A86:D86"/>
    <mergeCell ref="A89:I89"/>
    <mergeCell ref="A126:E126"/>
    <mergeCell ref="A127:E127"/>
    <mergeCell ref="A179:D179"/>
    <mergeCell ref="A180:N180"/>
  </mergeCells>
  <dataValidations count="181">
    <dataValidation allowBlank="true" error="Select a valid option from the list." errorStyle="stop" errorTitle="Invalid Input" operator="between" showDropDown="false" showErrorMessage="true" showInputMessage="false" sqref="B6" type="list">
      <formula1>"On Track,At Risk,Delayed,Not Started,Completed"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70" type="list">
      <formula1>"Low,Medium,High,Critical"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71" type="list">
      <formula1>"Green,Amber,Red"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76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77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78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79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80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81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82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83" type="list">
      <formula1>"High,Medium,Low"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1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1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2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2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3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3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4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4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5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5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6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6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7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7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8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8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99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99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0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0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1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1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2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2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3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3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4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4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5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5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6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6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7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7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8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8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09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09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0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0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1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1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2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2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3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3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4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4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5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5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6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6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7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7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8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8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19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19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20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20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21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21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22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22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23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23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24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24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B125" type="list">
      <formula1>"Food Procurement,Logistics &amp; Transport,Warehousing,Last Mile Distribution,HR &amp; Staffing,Consultancy &amp; TA,Monitoring &amp; Evaluation,Admin &amp; Overheads,Other"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H125" type="list">
      <formula1>"Spent,Committed,In Process,Planned,Cancelled"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29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29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0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0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1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1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2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2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3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3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4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4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5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5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6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6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7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7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8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8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39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39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0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0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1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1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2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2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3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3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4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4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5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5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6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6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7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7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8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8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49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49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0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0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1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1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2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2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3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3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4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4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5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5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6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6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7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7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8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8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59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59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0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0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1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1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2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2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3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3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4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4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5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5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6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6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7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7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8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8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69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69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0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0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1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1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2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2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3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3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4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4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5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5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6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6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7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7" type="list">
      <formula1>"Pending,Confirmed,In Production,Shipped,Delivered,On Hold,Cancelled"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D178" type="list">
      <formula1>"MT,KG,Litres,Cartons,Pieces,Bales,Pallets,Other"</formula1>
      <formula2>0</formula2>
    </dataValidation>
    <dataValidation allowBlank="true" error="Select a valid option from the list." errorStyle="stop" errorTitle="Invalid Input" operator="between" showDropDown="false" showErrorMessage="true" showInputMessage="false" sqref="M178" type="list">
      <formula1>"Pending,Confirmed,In Production,Shipped,Delivered,On Hold,Cancelled"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2026-04-01T11:41:57Z</dcterms:created>
  <dc:creator>openpyxl</dc:creator>
  <dc:description/>
  <dc:language>en-US</dc:language>
  <cp:lastModifiedBy/>
  <dcterms:modified xsi:type="dcterms:W3CDTF">2026-04-01T16:35:23Z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